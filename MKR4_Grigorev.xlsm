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ЭтаКнига" defaultThemeVersion="124226"/>
  <bookViews>
    <workbookView xWindow="-120" yWindow="-120" windowWidth="20730" windowHeight="11160"/>
  </bookViews>
  <sheets>
    <sheet name="Лист1" sheetId="1" r:id="rId1"/>
  </sheets>
  <calcPr calcId="145621"/>
</workbook>
</file>

<file path=xl/calcChain.xml><?xml version="1.0" encoding="utf-8"?>
<calcChain xmlns="http://schemas.openxmlformats.org/spreadsheetml/2006/main">
  <c r="R10" i="1" l="1"/>
  <c r="Q9" i="1"/>
  <c r="Q10" i="1"/>
  <c r="P10" i="1"/>
  <c r="Q11" i="1"/>
  <c r="AC3" i="1" l="1"/>
  <c r="AC20" i="1"/>
  <c r="AC21" i="1" s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C9" i="1"/>
  <c r="AC10" i="1" s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Y83" i="1"/>
  <c r="Y82" i="1"/>
  <c r="Y81" i="1"/>
  <c r="Y80" i="1"/>
  <c r="Y79" i="1"/>
  <c r="Y78" i="1"/>
  <c r="Y77" i="1"/>
  <c r="Y76" i="1"/>
  <c r="Y75" i="1"/>
  <c r="Y74" i="1"/>
  <c r="Y66" i="1"/>
  <c r="Y65" i="1"/>
  <c r="Y64" i="1"/>
  <c r="Y63" i="1"/>
  <c r="Y62" i="1"/>
  <c r="Y61" i="1"/>
  <c r="Y60" i="1"/>
  <c r="Y59" i="1"/>
  <c r="Y58" i="1"/>
  <c r="Y57" i="1"/>
  <c r="Y49" i="1"/>
  <c r="Y48" i="1"/>
  <c r="Y47" i="1"/>
  <c r="Y46" i="1"/>
  <c r="Y45" i="1"/>
  <c r="Y44" i="1"/>
  <c r="Y43" i="1"/>
  <c r="Y42" i="1"/>
  <c r="Y41" i="1"/>
  <c r="Y40" i="1"/>
  <c r="Y31" i="1"/>
  <c r="Y30" i="1"/>
  <c r="Y29" i="1"/>
  <c r="Y28" i="1"/>
  <c r="Y27" i="1"/>
  <c r="Y26" i="1"/>
  <c r="Y25" i="1"/>
  <c r="Y24" i="1"/>
  <c r="Y23" i="1"/>
  <c r="Y22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83" i="1"/>
  <c r="I82" i="1"/>
  <c r="I81" i="1"/>
  <c r="I80" i="1"/>
  <c r="I79" i="1"/>
  <c r="I78" i="1"/>
  <c r="I77" i="1"/>
  <c r="I76" i="1"/>
  <c r="I75" i="1"/>
  <c r="I74" i="1"/>
  <c r="I66" i="1"/>
  <c r="I65" i="1"/>
  <c r="I64" i="1"/>
  <c r="I63" i="1"/>
  <c r="I62" i="1"/>
  <c r="I61" i="1"/>
  <c r="I60" i="1"/>
  <c r="I59" i="1"/>
  <c r="I58" i="1"/>
  <c r="I57" i="1"/>
  <c r="I49" i="1"/>
  <c r="I48" i="1"/>
  <c r="I47" i="1"/>
  <c r="I46" i="1"/>
  <c r="I45" i="1"/>
  <c r="I44" i="1"/>
  <c r="I43" i="1"/>
  <c r="I42" i="1"/>
  <c r="I41" i="1"/>
  <c r="I40" i="1"/>
  <c r="I31" i="1"/>
  <c r="I30" i="1"/>
  <c r="I29" i="1"/>
  <c r="I28" i="1"/>
  <c r="I27" i="1"/>
  <c r="I26" i="1"/>
  <c r="I25" i="1"/>
  <c r="I24" i="1"/>
  <c r="I23" i="1"/>
  <c r="I22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J45" i="1"/>
  <c r="AC6" i="1" s="1"/>
  <c r="J40" i="1"/>
  <c r="AC17" i="1" s="1"/>
  <c r="W6" i="1"/>
  <c r="U7" i="1"/>
  <c r="S6" i="1"/>
  <c r="Q7" i="1"/>
  <c r="O6" i="1"/>
  <c r="M7" i="1"/>
  <c r="K6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X14" i="1"/>
  <c r="W14" i="1"/>
  <c r="V14" i="1"/>
  <c r="AO5" i="1" s="1"/>
  <c r="U14" i="1"/>
  <c r="AN5" i="1" s="1"/>
  <c r="T14" i="1"/>
  <c r="S14" i="1"/>
  <c r="Y13" i="1"/>
  <c r="W13" i="1"/>
  <c r="V13" i="1"/>
  <c r="U13" i="1"/>
  <c r="T13" i="1"/>
  <c r="S13" i="1"/>
  <c r="R13" i="1"/>
  <c r="AK5" i="1" s="1"/>
  <c r="I13" i="1"/>
  <c r="Y12" i="1"/>
  <c r="W12" i="1"/>
  <c r="V12" i="1"/>
  <c r="U12" i="1"/>
  <c r="T12" i="1"/>
  <c r="S12" i="1"/>
  <c r="R12" i="1"/>
  <c r="Q12" i="1"/>
  <c r="AJ5" i="1" s="1"/>
  <c r="I12" i="1"/>
  <c r="Y11" i="1"/>
  <c r="W11" i="1"/>
  <c r="V11" i="1"/>
  <c r="U11" i="1"/>
  <c r="T11" i="1"/>
  <c r="S11" i="1"/>
  <c r="R11" i="1"/>
  <c r="P11" i="1"/>
  <c r="AI5" i="1" s="1"/>
  <c r="I11" i="1"/>
  <c r="Y10" i="1"/>
  <c r="W10" i="1"/>
  <c r="V10" i="1"/>
  <c r="U10" i="1"/>
  <c r="T10" i="1"/>
  <c r="S10" i="1"/>
  <c r="O10" i="1"/>
  <c r="AH5" i="1" s="1"/>
  <c r="I10" i="1"/>
  <c r="Y9" i="1"/>
  <c r="W9" i="1"/>
  <c r="V9" i="1"/>
  <c r="U9" i="1"/>
  <c r="T9" i="1"/>
  <c r="S9" i="1"/>
  <c r="R9" i="1"/>
  <c r="P9" i="1"/>
  <c r="O9" i="1"/>
  <c r="N9" i="1"/>
  <c r="AG5" i="1" s="1"/>
  <c r="M9" i="1"/>
  <c r="AF5" i="1" s="1"/>
  <c r="L9" i="1"/>
  <c r="K9" i="1"/>
  <c r="J9" i="1"/>
  <c r="J8" i="1" s="1"/>
  <c r="J7" i="1" s="1"/>
  <c r="J6" i="1" s="1"/>
  <c r="J5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V57" i="1" s="1"/>
  <c r="AO18" i="1" s="1"/>
  <c r="I9" i="1"/>
  <c r="Y8" i="1"/>
  <c r="W8" i="1"/>
  <c r="V8" i="1"/>
  <c r="U8" i="1"/>
  <c r="T8" i="1"/>
  <c r="S8" i="1"/>
  <c r="R8" i="1"/>
  <c r="Q8" i="1"/>
  <c r="P8" i="1"/>
  <c r="O8" i="1"/>
  <c r="N8" i="1"/>
  <c r="M8" i="1"/>
  <c r="M45" i="1" s="1"/>
  <c r="AF6" i="1" s="1"/>
  <c r="L8" i="1"/>
  <c r="K8" i="1"/>
  <c r="I8" i="1"/>
  <c r="Y7" i="1"/>
  <c r="W7" i="1"/>
  <c r="V7" i="1"/>
  <c r="T7" i="1"/>
  <c r="S7" i="1"/>
  <c r="R7" i="1"/>
  <c r="P7" i="1"/>
  <c r="O7" i="1"/>
  <c r="N7" i="1"/>
  <c r="L7" i="1"/>
  <c r="K7" i="1"/>
  <c r="I7" i="1"/>
  <c r="Y6" i="1"/>
  <c r="V6" i="1"/>
  <c r="U6" i="1"/>
  <c r="R6" i="1"/>
  <c r="Q6" i="1"/>
  <c r="N6" i="1"/>
  <c r="M6" i="1"/>
  <c r="I6" i="1"/>
  <c r="Y5" i="1"/>
  <c r="W5" i="1"/>
  <c r="V5" i="1"/>
  <c r="U5" i="1"/>
  <c r="T5" i="1"/>
  <c r="S5" i="1"/>
  <c r="R5" i="1"/>
  <c r="Q5" i="1"/>
  <c r="P5" i="1"/>
  <c r="O5" i="1"/>
  <c r="N5" i="1"/>
  <c r="M5" i="1"/>
  <c r="L5" i="1"/>
  <c r="K5" i="1"/>
  <c r="I5" i="1"/>
  <c r="Y4" i="1"/>
  <c r="I4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N45" i="1" l="1"/>
  <c r="AG6" i="1" s="1"/>
  <c r="K44" i="1"/>
  <c r="B6" i="1"/>
  <c r="X13" i="1" s="1"/>
  <c r="W66" i="1" s="1"/>
  <c r="Q65" i="1"/>
  <c r="AJ7" i="1" s="1"/>
  <c r="J43" i="1"/>
  <c r="M57" i="1"/>
  <c r="AF18" i="1" s="1"/>
  <c r="U57" i="1"/>
  <c r="AN18" i="1" s="1"/>
  <c r="AC5" i="1"/>
  <c r="AF16" i="1"/>
  <c r="AJ16" i="1"/>
  <c r="AN16" i="1"/>
  <c r="N44" i="1"/>
  <c r="J42" i="1"/>
  <c r="J57" i="1"/>
  <c r="AC18" i="1" s="1"/>
  <c r="R57" i="1"/>
  <c r="AK18" i="1" s="1"/>
  <c r="AE16" i="1"/>
  <c r="AI16" i="1"/>
  <c r="AM16" i="1"/>
  <c r="J58" i="1"/>
  <c r="K60" i="1"/>
  <c r="K61" i="1"/>
  <c r="M62" i="1"/>
  <c r="AF7" i="1" s="1"/>
  <c r="O62" i="1"/>
  <c r="P63" i="1"/>
  <c r="U67" i="1"/>
  <c r="AN7" i="1" s="1"/>
  <c r="W67" i="1"/>
  <c r="AP7" i="1" s="1"/>
  <c r="J41" i="1"/>
  <c r="Q57" i="1"/>
  <c r="AJ18" i="1" s="1"/>
  <c r="AE5" i="1"/>
  <c r="AM5" i="1"/>
  <c r="AQ5" i="1"/>
  <c r="AD16" i="1"/>
  <c r="AH16" i="1"/>
  <c r="AL16" i="1"/>
  <c r="AP16" i="1"/>
  <c r="J61" i="1"/>
  <c r="J62" i="1"/>
  <c r="N62" i="1"/>
  <c r="AG7" i="1" s="1"/>
  <c r="O63" i="1"/>
  <c r="AH7" i="1" s="1"/>
  <c r="T67" i="1"/>
  <c r="AM7" i="1" s="1"/>
  <c r="V67" i="1"/>
  <c r="AO7" i="1" s="1"/>
  <c r="J44" i="1"/>
  <c r="N57" i="1"/>
  <c r="AG18" i="1" s="1"/>
  <c r="AD5" i="1"/>
  <c r="AL5" i="1"/>
  <c r="AP5" i="1"/>
  <c r="AC16" i="1"/>
  <c r="AG16" i="1"/>
  <c r="AK16" i="1"/>
  <c r="AO16" i="1"/>
  <c r="M58" i="1"/>
  <c r="Q58" i="1"/>
  <c r="U58" i="1"/>
  <c r="O60" i="1"/>
  <c r="N61" i="1"/>
  <c r="R61" i="1"/>
  <c r="V61" i="1"/>
  <c r="R62" i="1"/>
  <c r="V62" i="1"/>
  <c r="S63" i="1"/>
  <c r="T65" i="1"/>
  <c r="T66" i="1"/>
  <c r="P60" i="1"/>
  <c r="P59" i="1"/>
  <c r="Q46" i="1"/>
  <c r="U46" i="1"/>
  <c r="T48" i="1"/>
  <c r="N58" i="1"/>
  <c r="R58" i="1"/>
  <c r="V58" i="1"/>
  <c r="R44" i="1"/>
  <c r="O61" i="1"/>
  <c r="S61" i="1"/>
  <c r="S62" i="1"/>
  <c r="T63" i="1"/>
  <c r="R64" i="1"/>
  <c r="V64" i="1"/>
  <c r="U65" i="1"/>
  <c r="K43" i="1"/>
  <c r="S43" i="1"/>
  <c r="T42" i="1"/>
  <c r="L59" i="1"/>
  <c r="L62" i="1"/>
  <c r="AE7" i="1" s="1"/>
  <c r="X67" i="1"/>
  <c r="AQ7" i="1" s="1"/>
  <c r="M42" i="1"/>
  <c r="Q42" i="1"/>
  <c r="U42" i="1"/>
  <c r="O44" i="1"/>
  <c r="S60" i="1"/>
  <c r="R45" i="1"/>
  <c r="Q62" i="1"/>
  <c r="U62" i="1"/>
  <c r="R63" i="1"/>
  <c r="V63" i="1"/>
  <c r="Q48" i="1"/>
  <c r="U48" i="1"/>
  <c r="T49" i="1"/>
  <c r="S66" i="1"/>
  <c r="O43" i="1"/>
  <c r="L57" i="1"/>
  <c r="AE18" i="1" s="1"/>
  <c r="P57" i="1"/>
  <c r="AI18" i="1" s="1"/>
  <c r="T57" i="1"/>
  <c r="AM18" i="1" s="1"/>
  <c r="K62" i="1"/>
  <c r="AD7" i="1" s="1"/>
  <c r="S67" i="1"/>
  <c r="AL7" i="1" s="1"/>
  <c r="T59" i="1"/>
  <c r="R48" i="1"/>
  <c r="L42" i="1"/>
  <c r="P42" i="1"/>
  <c r="S44" i="1"/>
  <c r="Q45" i="1"/>
  <c r="U45" i="1"/>
  <c r="Q63" i="1"/>
  <c r="U63" i="1"/>
  <c r="S49" i="1"/>
  <c r="R66" i="1"/>
  <c r="AK7" i="1" s="1"/>
  <c r="L60" i="1"/>
  <c r="T60" i="1"/>
  <c r="K57" i="1"/>
  <c r="AD18" i="1" s="1"/>
  <c r="O57" i="1"/>
  <c r="AH18" i="1" s="1"/>
  <c r="S57" i="1"/>
  <c r="AL18" i="1" s="1"/>
  <c r="M79" i="1"/>
  <c r="AF8" i="1" s="1"/>
  <c r="M40" i="1"/>
  <c r="AF17" i="1" s="1"/>
  <c r="Q40" i="1"/>
  <c r="U40" i="1"/>
  <c r="K42" i="1"/>
  <c r="O42" i="1"/>
  <c r="S42" i="1"/>
  <c r="W42" i="1"/>
  <c r="N43" i="1"/>
  <c r="R43" i="1"/>
  <c r="V43" i="1"/>
  <c r="M44" i="1"/>
  <c r="Q44" i="1"/>
  <c r="U44" i="1"/>
  <c r="L45" i="1"/>
  <c r="P45" i="1"/>
  <c r="T45" i="1"/>
  <c r="P46" i="1"/>
  <c r="T46" i="1"/>
  <c r="Q47" i="1"/>
  <c r="U47" i="1"/>
  <c r="S48" i="1"/>
  <c r="W48" i="1"/>
  <c r="R49" i="1"/>
  <c r="V49" i="1"/>
  <c r="S50" i="1"/>
  <c r="W50" i="1"/>
  <c r="L58" i="1"/>
  <c r="P58" i="1"/>
  <c r="T58" i="1"/>
  <c r="J60" i="1"/>
  <c r="J77" i="1" s="1"/>
  <c r="N60" i="1"/>
  <c r="R60" i="1"/>
  <c r="V60" i="1"/>
  <c r="M61" i="1"/>
  <c r="Q61" i="1"/>
  <c r="U61" i="1"/>
  <c r="P62" i="1"/>
  <c r="T62" i="1"/>
  <c r="Q64" i="1"/>
  <c r="U64" i="1"/>
  <c r="S65" i="1"/>
  <c r="V66" i="1"/>
  <c r="L40" i="1"/>
  <c r="P40" i="1"/>
  <c r="T40" i="1"/>
  <c r="K41" i="1"/>
  <c r="O41" i="1"/>
  <c r="S41" i="1"/>
  <c r="W41" i="1"/>
  <c r="N42" i="1"/>
  <c r="R42" i="1"/>
  <c r="V42" i="1"/>
  <c r="M43" i="1"/>
  <c r="Q43" i="1"/>
  <c r="U43" i="1"/>
  <c r="L44" i="1"/>
  <c r="P44" i="1"/>
  <c r="T44" i="1"/>
  <c r="K45" i="1"/>
  <c r="O45" i="1"/>
  <c r="S45" i="1"/>
  <c r="W45" i="1"/>
  <c r="O46" i="1"/>
  <c r="S46" i="1"/>
  <c r="W46" i="1"/>
  <c r="P47" i="1"/>
  <c r="AI6" i="1" s="1"/>
  <c r="T47" i="1"/>
  <c r="V48" i="1"/>
  <c r="U49" i="1"/>
  <c r="V50" i="1"/>
  <c r="K58" i="1"/>
  <c r="O58" i="1"/>
  <c r="S58" i="1"/>
  <c r="J59" i="1"/>
  <c r="N59" i="1"/>
  <c r="R59" i="1"/>
  <c r="V59" i="1"/>
  <c r="M60" i="1"/>
  <c r="Q60" i="1"/>
  <c r="U60" i="1"/>
  <c r="L61" i="1"/>
  <c r="P61" i="1"/>
  <c r="T61" i="1"/>
  <c r="P64" i="1"/>
  <c r="AI7" i="1" s="1"/>
  <c r="T64" i="1"/>
  <c r="R65" i="1"/>
  <c r="V65" i="1"/>
  <c r="U66" i="1"/>
  <c r="K40" i="1"/>
  <c r="O40" i="1"/>
  <c r="S40" i="1"/>
  <c r="W40" i="1"/>
  <c r="AP17" i="1" s="1"/>
  <c r="N41" i="1"/>
  <c r="R41" i="1"/>
  <c r="V41" i="1"/>
  <c r="W44" i="1"/>
  <c r="V45" i="1"/>
  <c r="R46" i="1"/>
  <c r="V46" i="1"/>
  <c r="S47" i="1"/>
  <c r="W47" i="1"/>
  <c r="U50" i="1"/>
  <c r="S64" i="1"/>
  <c r="N40" i="1"/>
  <c r="R40" i="1"/>
  <c r="V40" i="1"/>
  <c r="M41" i="1"/>
  <c r="Q41" i="1"/>
  <c r="U41" i="1"/>
  <c r="W43" i="1"/>
  <c r="V44" i="1"/>
  <c r="R47" i="1"/>
  <c r="V47" i="1"/>
  <c r="W49" i="1"/>
  <c r="T50" i="1"/>
  <c r="L6" i="1"/>
  <c r="P6" i="1"/>
  <c r="Q59" i="1" s="1"/>
  <c r="T6" i="1"/>
  <c r="U59" i="1" s="1"/>
  <c r="K78" i="1" l="1"/>
  <c r="N79" i="1"/>
  <c r="AG8" i="1" s="1"/>
  <c r="T76" i="1"/>
  <c r="O78" i="1"/>
  <c r="O77" i="1"/>
  <c r="J76" i="1"/>
  <c r="O79" i="1"/>
  <c r="J74" i="1"/>
  <c r="AC19" i="1" s="1"/>
  <c r="K77" i="1"/>
  <c r="P80" i="1"/>
  <c r="N78" i="1"/>
  <c r="J79" i="1"/>
  <c r="AC8" i="1" s="1"/>
  <c r="AC7" i="1"/>
  <c r="J75" i="1"/>
  <c r="X66" i="1"/>
  <c r="J78" i="1"/>
  <c r="Q81" i="1"/>
  <c r="U75" i="1"/>
  <c r="M75" i="1"/>
  <c r="Q75" i="1"/>
  <c r="S82" i="1"/>
  <c r="U81" i="1"/>
  <c r="V79" i="1"/>
  <c r="S80" i="1"/>
  <c r="T83" i="1"/>
  <c r="R79" i="1"/>
  <c r="R78" i="1"/>
  <c r="V78" i="1"/>
  <c r="T82" i="1"/>
  <c r="V82" i="1"/>
  <c r="R82" i="1"/>
  <c r="V80" i="1"/>
  <c r="V75" i="1"/>
  <c r="U82" i="1"/>
  <c r="U83" i="1"/>
  <c r="P76" i="1"/>
  <c r="Q76" i="1"/>
  <c r="S79" i="1"/>
  <c r="Q80" i="1"/>
  <c r="U76" i="1"/>
  <c r="R80" i="1"/>
  <c r="R75" i="1"/>
  <c r="V83" i="1"/>
  <c r="T79" i="1"/>
  <c r="T80" i="1"/>
  <c r="M74" i="1"/>
  <c r="AF19" i="1" s="1"/>
  <c r="V74" i="1"/>
  <c r="AO19" i="1" s="1"/>
  <c r="AO17" i="1"/>
  <c r="O74" i="1"/>
  <c r="AH19" i="1" s="1"/>
  <c r="AH17" i="1"/>
  <c r="V84" i="1"/>
  <c r="AO8" i="1" s="1"/>
  <c r="AO6" i="1"/>
  <c r="W84" i="1"/>
  <c r="AP8" i="1" s="1"/>
  <c r="AP6" i="1"/>
  <c r="L79" i="1"/>
  <c r="AE8" i="1" s="1"/>
  <c r="AE6" i="1"/>
  <c r="Q74" i="1"/>
  <c r="AJ19" i="1" s="1"/>
  <c r="AJ17" i="1"/>
  <c r="Q82" i="1"/>
  <c r="AJ8" i="1" s="1"/>
  <c r="AJ6" i="1"/>
  <c r="T84" i="1"/>
  <c r="AM8" i="1" s="1"/>
  <c r="AM6" i="1"/>
  <c r="S74" i="1"/>
  <c r="AL19" i="1" s="1"/>
  <c r="AL17" i="1"/>
  <c r="O80" i="1"/>
  <c r="AH8" i="1" s="1"/>
  <c r="AH6" i="1"/>
  <c r="K79" i="1"/>
  <c r="AD8" i="1" s="1"/>
  <c r="AD6" i="1"/>
  <c r="L74" i="1"/>
  <c r="AE19" i="1" s="1"/>
  <c r="AE17" i="1"/>
  <c r="R83" i="1"/>
  <c r="AK8" i="1" s="1"/>
  <c r="AK6" i="1"/>
  <c r="U74" i="1"/>
  <c r="AN19" i="1" s="1"/>
  <c r="AN17" i="1"/>
  <c r="N74" i="1"/>
  <c r="AG19" i="1" s="1"/>
  <c r="AG17" i="1"/>
  <c r="P74" i="1"/>
  <c r="AI19" i="1" s="1"/>
  <c r="AI17" i="1"/>
  <c r="R74" i="1"/>
  <c r="AK19" i="1" s="1"/>
  <c r="AK17" i="1"/>
  <c r="K74" i="1"/>
  <c r="AD19" i="1" s="1"/>
  <c r="AD17" i="1"/>
  <c r="T74" i="1"/>
  <c r="AM19" i="1" s="1"/>
  <c r="AM17" i="1"/>
  <c r="S84" i="1"/>
  <c r="AL8" i="1" s="1"/>
  <c r="AL6" i="1"/>
  <c r="Q79" i="1"/>
  <c r="U79" i="1"/>
  <c r="R81" i="1"/>
  <c r="S77" i="1"/>
  <c r="L76" i="1"/>
  <c r="V81" i="1"/>
  <c r="N75" i="1"/>
  <c r="L78" i="1"/>
  <c r="V76" i="1"/>
  <c r="U80" i="1"/>
  <c r="S78" i="1"/>
  <c r="U84" i="1"/>
  <c r="AN8" i="1" s="1"/>
  <c r="AN6" i="1"/>
  <c r="S81" i="1"/>
  <c r="S83" i="1"/>
  <c r="X12" i="1"/>
  <c r="X50" i="1"/>
  <c r="X49" i="1"/>
  <c r="V77" i="1"/>
  <c r="W83" i="1"/>
  <c r="P78" i="1"/>
  <c r="M77" i="1"/>
  <c r="L43" i="1"/>
  <c r="L77" i="1" s="1"/>
  <c r="K59" i="1"/>
  <c r="K76" i="1" s="1"/>
  <c r="L41" i="1"/>
  <c r="L75" i="1" s="1"/>
  <c r="P79" i="1"/>
  <c r="K75" i="1"/>
  <c r="M78" i="1"/>
  <c r="P81" i="1"/>
  <c r="AI8" i="1" s="1"/>
  <c r="T78" i="1"/>
  <c r="Q77" i="1"/>
  <c r="N76" i="1"/>
  <c r="O75" i="1"/>
  <c r="Q78" i="1"/>
  <c r="N77" i="1"/>
  <c r="T81" i="1"/>
  <c r="U77" i="1"/>
  <c r="R76" i="1"/>
  <c r="S75" i="1"/>
  <c r="U78" i="1"/>
  <c r="R77" i="1"/>
  <c r="M59" i="1"/>
  <c r="M76" i="1" s="1"/>
  <c r="P43" i="1"/>
  <c r="P77" i="1" s="1"/>
  <c r="O59" i="1"/>
  <c r="O76" i="1" s="1"/>
  <c r="P41" i="1"/>
  <c r="P75" i="1" s="1"/>
  <c r="T43" i="1"/>
  <c r="T77" i="1" s="1"/>
  <c r="S59" i="1"/>
  <c r="S76" i="1" s="1"/>
  <c r="T41" i="1"/>
  <c r="T75" i="1" s="1"/>
  <c r="AD20" i="1" l="1"/>
  <c r="AD21" i="1" s="1"/>
  <c r="AD9" i="1"/>
  <c r="AD10" i="1" s="1"/>
  <c r="X83" i="1"/>
  <c r="X84" i="1"/>
  <c r="AQ8" i="1" s="1"/>
  <c r="AQ6" i="1"/>
  <c r="X11" i="1"/>
  <c r="X48" i="1"/>
  <c r="X65" i="1"/>
  <c r="W65" i="1"/>
  <c r="W82" i="1" s="1"/>
  <c r="AE9" i="1" l="1"/>
  <c r="AE10" i="1" s="1"/>
  <c r="AE20" i="1"/>
  <c r="AF20" i="1" s="1"/>
  <c r="AG20" i="1" s="1"/>
  <c r="X82" i="1"/>
  <c r="X10" i="1"/>
  <c r="X47" i="1"/>
  <c r="X64" i="1"/>
  <c r="W64" i="1"/>
  <c r="W81" i="1" s="1"/>
  <c r="AF9" i="1" l="1"/>
  <c r="AF10" i="1" s="1"/>
  <c r="AF21" i="1"/>
  <c r="AE21" i="1"/>
  <c r="AG21" i="1"/>
  <c r="AH20" i="1"/>
  <c r="X9" i="1"/>
  <c r="X46" i="1"/>
  <c r="W63" i="1"/>
  <c r="W80" i="1" s="1"/>
  <c r="X63" i="1"/>
  <c r="X81" i="1"/>
  <c r="AG9" i="1" l="1"/>
  <c r="AG10" i="1" s="1"/>
  <c r="AI20" i="1"/>
  <c r="AH21" i="1"/>
  <c r="X8" i="1"/>
  <c r="X45" i="1"/>
  <c r="W62" i="1"/>
  <c r="W79" i="1" s="1"/>
  <c r="X62" i="1"/>
  <c r="X80" i="1"/>
  <c r="AH9" i="1" l="1"/>
  <c r="AI9" i="1" s="1"/>
  <c r="AJ9" i="1" s="1"/>
  <c r="AJ20" i="1"/>
  <c r="AI21" i="1"/>
  <c r="X7" i="1"/>
  <c r="X44" i="1"/>
  <c r="X61" i="1"/>
  <c r="W61" i="1"/>
  <c r="W78" i="1" s="1"/>
  <c r="X79" i="1"/>
  <c r="AI10" i="1" l="1"/>
  <c r="AH10" i="1"/>
  <c r="AJ21" i="1"/>
  <c r="AK20" i="1"/>
  <c r="AK9" i="1"/>
  <c r="AJ10" i="1"/>
  <c r="X6" i="1"/>
  <c r="X43" i="1"/>
  <c r="W60" i="1"/>
  <c r="W77" i="1" s="1"/>
  <c r="X60" i="1"/>
  <c r="X78" i="1"/>
  <c r="AK21" i="1" l="1"/>
  <c r="AL20" i="1"/>
  <c r="AK10" i="1"/>
  <c r="AL9" i="1"/>
  <c r="X5" i="1"/>
  <c r="X42" i="1"/>
  <c r="X59" i="1"/>
  <c r="W59" i="1"/>
  <c r="W76" i="1" s="1"/>
  <c r="X77" i="1"/>
  <c r="AM20" i="1" l="1"/>
  <c r="AL21" i="1"/>
  <c r="AL10" i="1"/>
  <c r="AM9" i="1"/>
  <c r="X4" i="1"/>
  <c r="AQ16" i="1" s="1"/>
  <c r="X41" i="1"/>
  <c r="W58" i="1"/>
  <c r="W75" i="1" s="1"/>
  <c r="X58" i="1"/>
  <c r="X76" i="1"/>
  <c r="X75" i="1" l="1"/>
  <c r="AN20" i="1"/>
  <c r="AM21" i="1"/>
  <c r="AN9" i="1"/>
  <c r="AM10" i="1"/>
  <c r="W57" i="1"/>
  <c r="X57" i="1"/>
  <c r="AQ18" i="1" s="1"/>
  <c r="X40" i="1"/>
  <c r="AQ17" i="1" s="1"/>
  <c r="W74" i="1" l="1"/>
  <c r="AP19" i="1" s="1"/>
  <c r="AP18" i="1"/>
  <c r="AO9" i="1"/>
  <c r="AN10" i="1"/>
  <c r="AN21" i="1"/>
  <c r="AO20" i="1"/>
  <c r="X74" i="1"/>
  <c r="AQ19" i="1" s="1"/>
  <c r="AO10" i="1" l="1"/>
  <c r="AP9" i="1"/>
  <c r="AO21" i="1"/>
  <c r="AP20" i="1"/>
  <c r="AP10" i="1" l="1"/>
  <c r="AQ9" i="1"/>
  <c r="AQ10" i="1" s="1"/>
  <c r="AQ20" i="1"/>
  <c r="AQ21" i="1" s="1"/>
  <c r="AP21" i="1"/>
</calcChain>
</file>

<file path=xl/sharedStrings.xml><?xml version="1.0" encoding="utf-8"?>
<sst xmlns="http://schemas.openxmlformats.org/spreadsheetml/2006/main" count="31" uniqueCount="17">
  <si>
    <t>dx=dy</t>
  </si>
  <si>
    <t>Vвходная</t>
  </si>
  <si>
    <t>pвыходная</t>
  </si>
  <si>
    <t>Vвыходная</t>
  </si>
  <si>
    <t>n_iter</t>
  </si>
  <si>
    <t>N_L</t>
  </si>
  <si>
    <t>N_H</t>
  </si>
  <si>
    <t>ψ</t>
  </si>
  <si>
    <t>U</t>
  </si>
  <si>
    <t>V</t>
  </si>
  <si>
    <t>Абс.скор.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</si>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</sst>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2" fillId="3" borderId="1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4" borderId="2" xfId="0" applyFont="1" applyFill="1" applyBorder="1"/>
    <xf numFmtId="0" fontId="1" fillId="4" borderId="0" xfId="0" applyFont="1" applyFill="1"/>
    <xf numFmtId="0" fontId="1" fillId="4" borderId="4" xfId="0" applyFont="1" applyFill="1" applyBorder="1"/>
    <xf numFmtId="0" fontId="1" fillId="4" borderId="6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/>
    <xf numFmtId="0" fontId="0" fillId="4" borderId="6" xfId="0" applyFill="1" applyBorder="1"/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58573928258976"/>
          <c:y val="5.1400554097404488E-2"/>
          <c:w val="0.6273727199798278"/>
          <c:h val="0.8971988918051913"/>
        </c:manualLayout>
      </c:layout>
      <c:scatterChart>
        <c:scatterStyle val="smoothMarker"/>
        <c:varyColors val="0"/>
        <c:ser>
          <c:idx val="0"/>
          <c:order val="0"/>
          <c:tx>
            <c:v>Верхняя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General</c:formatCode>
                <c:ptCount val="15"/>
                <c:pt idx="0">
                  <c:v>0</c:v>
                </c:pt>
                <c:pt idx="1">
                  <c:v>2.7528856811695732E-2</c:v>
                </c:pt>
                <c:pt idx="2">
                  <c:v>6.2530314073665064E-2</c:v>
                </c:pt>
                <c:pt idx="3">
                  <c:v>0.11253103150811512</c:v>
                </c:pt>
                <c:pt idx="4">
                  <c:v>0.18275528235855745</c:v>
                </c:pt>
                <c:pt idx="5">
                  <c:v>0.27101889288722303</c:v>
                </c:pt>
                <c:pt idx="6">
                  <c:v>0.36358248188014841</c:v>
                </c:pt>
                <c:pt idx="7">
                  <c:v>0.4488349801415461</c:v>
                </c:pt>
                <c:pt idx="8">
                  <c:v>0.52143335488537557</c:v>
                </c:pt>
                <c:pt idx="9">
                  <c:v>0.58075095989974213</c:v>
                </c:pt>
                <c:pt idx="10">
                  <c:v>0.62841868769668507</c:v>
                </c:pt>
                <c:pt idx="11">
                  <c:v>0.66687408970727124</c:v>
                </c:pt>
                <c:pt idx="12">
                  <c:v>0.69854307952511585</c:v>
                </c:pt>
                <c:pt idx="13">
                  <c:v>0.72562890934204916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2F-4B08-8119-D30B773AD780}"/>
            </c:ext>
          </c:extLst>
        </c:ser>
        <c:ser>
          <c:idx val="1"/>
          <c:order val="1"/>
          <c:tx>
            <c:v>Нижняя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General</c:formatCode>
                <c:ptCount val="15"/>
                <c:pt idx="0">
                  <c:v>0</c:v>
                </c:pt>
                <c:pt idx="1">
                  <c:v>-3.5049737461667972E-2</c:v>
                </c:pt>
                <c:pt idx="2">
                  <c:v>-8.9478157419944179E-2</c:v>
                </c:pt>
                <c:pt idx="3">
                  <c:v>-0.20065694624907338</c:v>
                </c:pt>
                <c:pt idx="4">
                  <c:v>-0.58691194804065161</c:v>
                </c:pt>
                <c:pt idx="5">
                  <c:v>0.31486411412566667</c:v>
                </c:pt>
                <c:pt idx="6">
                  <c:v>0.59497220539487894</c:v>
                </c:pt>
                <c:pt idx="7">
                  <c:v>0.74585839342820692</c:v>
                </c:pt>
                <c:pt idx="8">
                  <c:v>0.85606944104656579</c:v>
                </c:pt>
                <c:pt idx="9">
                  <c:v>0.95312859620258683</c:v>
                </c:pt>
                <c:pt idx="10">
                  <c:v>0.89403598565375431</c:v>
                </c:pt>
                <c:pt idx="11">
                  <c:v>0.84739429468318117</c:v>
                </c:pt>
                <c:pt idx="12">
                  <c:v>0.81056657854933289</c:v>
                </c:pt>
                <c:pt idx="13">
                  <c:v>0.7793367235435289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02F-4B08-8119-D30B773A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351360"/>
        <c:axId val="291351936"/>
      </c:scatterChart>
      <c:valAx>
        <c:axId val="29135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1351936"/>
        <c:crosses val="autoZero"/>
        <c:crossBetween val="midCat"/>
      </c:valAx>
      <c:valAx>
        <c:axId val="29135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135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161925</xdr:rowOff>
        </xdr:from>
        <xdr:to>
          <xdr:col>4</xdr:col>
          <xdr:colOff>333375</xdr:colOff>
          <xdr:row>22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66675</xdr:rowOff>
        </xdr:from>
        <xdr:to>
          <xdr:col>4</xdr:col>
          <xdr:colOff>485775</xdr:colOff>
          <xdr:row>30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Q86"/>
  <sheetViews>
    <sheetView tabSelected="1" zoomScale="60" zoomScaleNormal="60" workbookViewId="0">
      <selection activeCell="J22" sqref="J22:X32"/>
    </sheetView>
  </sheetViews>
  <sheetFormatPr defaultRowHeight="15" x14ac:dyDescent="0.25"/>
  <cols>
    <col min="9" max="9" width="9.140625" customWidth="1"/>
    <col min="28" max="28" width="16.7109375" customWidth="1"/>
  </cols>
  <sheetData>
    <row r="2" spans="1:43" x14ac:dyDescent="0.25">
      <c r="A2" s="6" t="s">
        <v>0</v>
      </c>
      <c r="B2" s="7">
        <v>0.2</v>
      </c>
      <c r="H2" s="29" t="s">
        <v>7</v>
      </c>
      <c r="I2" s="30"/>
      <c r="J2" s="17">
        <v>1</v>
      </c>
      <c r="K2" s="17">
        <v>2</v>
      </c>
      <c r="L2" s="17">
        <v>3</v>
      </c>
      <c r="M2" s="17">
        <v>4</v>
      </c>
      <c r="N2" s="17">
        <v>5</v>
      </c>
      <c r="O2" s="17">
        <v>6</v>
      </c>
      <c r="P2" s="17">
        <v>7</v>
      </c>
      <c r="Q2" s="17">
        <v>8</v>
      </c>
      <c r="R2" s="17">
        <v>9</v>
      </c>
      <c r="S2" s="17">
        <v>10</v>
      </c>
      <c r="T2" s="17">
        <v>11</v>
      </c>
      <c r="U2" s="17">
        <v>12</v>
      </c>
      <c r="V2" s="17">
        <v>13</v>
      </c>
      <c r="W2" s="17">
        <v>14</v>
      </c>
      <c r="X2" s="17">
        <v>15</v>
      </c>
      <c r="Y2" s="23"/>
      <c r="Z2" s="24"/>
      <c r="AB2" s="11" t="s">
        <v>15</v>
      </c>
      <c r="AC2" s="14">
        <v>1</v>
      </c>
      <c r="AD2" s="14">
        <v>2</v>
      </c>
      <c r="AE2" s="14">
        <v>3</v>
      </c>
      <c r="AF2" s="14">
        <v>4</v>
      </c>
      <c r="AG2" s="14">
        <v>5</v>
      </c>
      <c r="AH2" s="14">
        <v>6</v>
      </c>
      <c r="AI2" s="14">
        <v>7</v>
      </c>
      <c r="AJ2" s="14">
        <v>8</v>
      </c>
      <c r="AK2" s="14">
        <v>9</v>
      </c>
      <c r="AL2" s="14">
        <v>10</v>
      </c>
      <c r="AM2" s="14">
        <v>11</v>
      </c>
      <c r="AN2" s="14">
        <v>12</v>
      </c>
      <c r="AO2" s="14">
        <v>13</v>
      </c>
      <c r="AP2" s="14">
        <v>14</v>
      </c>
      <c r="AQ2" s="14">
        <v>15</v>
      </c>
    </row>
    <row r="3" spans="1:43" x14ac:dyDescent="0.25">
      <c r="A3" s="6"/>
      <c r="B3" s="7"/>
      <c r="H3" s="31"/>
      <c r="I3" s="32"/>
      <c r="J3" s="17">
        <f>$B$2*(J2-1)</f>
        <v>0</v>
      </c>
      <c r="K3" s="17">
        <f t="shared" ref="K3:X3" si="0">$B$2*(K2-1)</f>
        <v>0.2</v>
      </c>
      <c r="L3" s="17">
        <f t="shared" si="0"/>
        <v>0.4</v>
      </c>
      <c r="M3" s="17">
        <f t="shared" si="0"/>
        <v>0.60000000000000009</v>
      </c>
      <c r="N3" s="17">
        <f t="shared" si="0"/>
        <v>0.8</v>
      </c>
      <c r="O3" s="17">
        <f t="shared" si="0"/>
        <v>1</v>
      </c>
      <c r="P3" s="17">
        <f t="shared" si="0"/>
        <v>1.2000000000000002</v>
      </c>
      <c r="Q3" s="17">
        <f t="shared" si="0"/>
        <v>1.4000000000000001</v>
      </c>
      <c r="R3" s="17">
        <f t="shared" si="0"/>
        <v>1.6</v>
      </c>
      <c r="S3" s="17">
        <f t="shared" si="0"/>
        <v>1.8</v>
      </c>
      <c r="T3" s="17">
        <f t="shared" si="0"/>
        <v>2</v>
      </c>
      <c r="U3" s="17">
        <f t="shared" si="0"/>
        <v>2.2000000000000002</v>
      </c>
      <c r="V3" s="17">
        <f t="shared" si="0"/>
        <v>2.4000000000000004</v>
      </c>
      <c r="W3" s="17">
        <f t="shared" si="0"/>
        <v>2.6</v>
      </c>
      <c r="X3" s="17">
        <f t="shared" si="0"/>
        <v>2.8000000000000003</v>
      </c>
      <c r="Y3" s="25"/>
      <c r="Z3" s="26"/>
      <c r="AB3" s="12" t="s">
        <v>11</v>
      </c>
      <c r="AC3" s="9">
        <f>$B$2*(AC2-1)</f>
        <v>0</v>
      </c>
      <c r="AD3" s="10">
        <f t="shared" ref="AD3:AQ3" si="1">$B$2*(AD2-1)</f>
        <v>0.2</v>
      </c>
      <c r="AE3" s="10">
        <f t="shared" si="1"/>
        <v>0.4</v>
      </c>
      <c r="AF3" s="10">
        <f t="shared" si="1"/>
        <v>0.60000000000000009</v>
      </c>
      <c r="AG3" s="10">
        <f t="shared" si="1"/>
        <v>0.8</v>
      </c>
      <c r="AH3" s="10">
        <f t="shared" si="1"/>
        <v>1</v>
      </c>
      <c r="AI3" s="10">
        <f t="shared" si="1"/>
        <v>1.2000000000000002</v>
      </c>
      <c r="AJ3" s="10">
        <f t="shared" si="1"/>
        <v>1.4000000000000001</v>
      </c>
      <c r="AK3" s="10">
        <f t="shared" si="1"/>
        <v>1.6</v>
      </c>
      <c r="AL3" s="10">
        <f t="shared" si="1"/>
        <v>1.8</v>
      </c>
      <c r="AM3" s="10">
        <f t="shared" si="1"/>
        <v>2</v>
      </c>
      <c r="AN3" s="10">
        <f t="shared" si="1"/>
        <v>2.2000000000000002</v>
      </c>
      <c r="AO3" s="10">
        <f t="shared" si="1"/>
        <v>2.4000000000000004</v>
      </c>
      <c r="AP3" s="10">
        <f t="shared" si="1"/>
        <v>2.6</v>
      </c>
      <c r="AQ3" s="10">
        <f t="shared" si="1"/>
        <v>2.8000000000000003</v>
      </c>
    </row>
    <row r="4" spans="1:43" x14ac:dyDescent="0.25">
      <c r="A4" s="6" t="s">
        <v>1</v>
      </c>
      <c r="B4" s="7">
        <v>10</v>
      </c>
      <c r="H4" s="17">
        <v>11</v>
      </c>
      <c r="I4" s="18">
        <f t="shared" ref="I4:I12" si="2">$B$2*(H4-1)</f>
        <v>2</v>
      </c>
      <c r="J4" s="1">
        <f t="shared" ref="J4:J7" si="3">J5+$B$4*$B$2</f>
        <v>10</v>
      </c>
      <c r="K4" s="1">
        <f>J4</f>
        <v>10</v>
      </c>
      <c r="L4" s="1">
        <f t="shared" ref="L4:W4" si="4">K4</f>
        <v>10</v>
      </c>
      <c r="M4" s="1">
        <f t="shared" si="4"/>
        <v>10</v>
      </c>
      <c r="N4" s="1">
        <f t="shared" si="4"/>
        <v>10</v>
      </c>
      <c r="O4" s="1">
        <f t="shared" si="4"/>
        <v>10</v>
      </c>
      <c r="P4" s="1">
        <f t="shared" si="4"/>
        <v>10</v>
      </c>
      <c r="Q4" s="1">
        <f t="shared" si="4"/>
        <v>10</v>
      </c>
      <c r="R4" s="1">
        <f t="shared" si="4"/>
        <v>10</v>
      </c>
      <c r="S4" s="1">
        <f t="shared" si="4"/>
        <v>10</v>
      </c>
      <c r="T4" s="1">
        <f t="shared" si="4"/>
        <v>10</v>
      </c>
      <c r="U4" s="1">
        <f t="shared" si="4"/>
        <v>10</v>
      </c>
      <c r="V4" s="1">
        <f t="shared" si="4"/>
        <v>10</v>
      </c>
      <c r="W4" s="1">
        <f t="shared" si="4"/>
        <v>10</v>
      </c>
      <c r="X4" s="1">
        <f t="shared" ref="X4:X12" si="5">X5+$B$6*$B$2</f>
        <v>10</v>
      </c>
      <c r="Y4" s="18">
        <f t="shared" ref="Y4:Y12" si="6">$B$2*(Z4-1)</f>
        <v>2</v>
      </c>
      <c r="Z4" s="17">
        <v>11</v>
      </c>
      <c r="AB4" s="12" t="s">
        <v>12</v>
      </c>
      <c r="AC4" s="10">
        <v>1</v>
      </c>
      <c r="AD4" s="10">
        <v>1</v>
      </c>
      <c r="AE4" s="10">
        <v>1</v>
      </c>
      <c r="AF4" s="10">
        <v>1</v>
      </c>
      <c r="AG4" s="10">
        <v>1</v>
      </c>
      <c r="AH4" s="10">
        <v>0.8</v>
      </c>
      <c r="AI4" s="10">
        <v>0.6</v>
      </c>
      <c r="AJ4" s="10">
        <v>0.4</v>
      </c>
      <c r="AK4" s="10">
        <v>0.2</v>
      </c>
      <c r="AL4" s="10">
        <v>0</v>
      </c>
      <c r="AM4" s="10">
        <v>0</v>
      </c>
      <c r="AN4" s="10">
        <v>0</v>
      </c>
      <c r="AO4" s="10">
        <v>0</v>
      </c>
      <c r="AP4" s="10">
        <v>0</v>
      </c>
      <c r="AQ4" s="10">
        <v>0</v>
      </c>
    </row>
    <row r="5" spans="1:43" x14ac:dyDescent="0.25">
      <c r="A5" s="6" t="s">
        <v>2</v>
      </c>
      <c r="B5" s="7">
        <v>101325</v>
      </c>
      <c r="H5" s="17">
        <v>10</v>
      </c>
      <c r="I5" s="18">
        <f t="shared" si="2"/>
        <v>1.8</v>
      </c>
      <c r="J5" s="1">
        <f t="shared" si="3"/>
        <v>8</v>
      </c>
      <c r="K5" s="1">
        <f>0.25*(K24+L23+K22+J23)</f>
        <v>8.0277209698540197</v>
      </c>
      <c r="L5" s="1">
        <f t="shared" ref="L5:W5" si="7">0.25*(L24+M23+L22+K23)</f>
        <v>8.0635396353901889</v>
      </c>
      <c r="M5" s="1">
        <f t="shared" si="7"/>
        <v>8.1158885717750788</v>
      </c>
      <c r="N5" s="1">
        <f t="shared" si="7"/>
        <v>8.1919682329765262</v>
      </c>
      <c r="O5" s="1">
        <f t="shared" si="7"/>
        <v>8.2923921912654972</v>
      </c>
      <c r="P5" s="1">
        <f t="shared" si="7"/>
        <v>8.4044843866389467</v>
      </c>
      <c r="Q5" s="1">
        <f t="shared" si="7"/>
        <v>8.5151902211279076</v>
      </c>
      <c r="R5" s="1">
        <f t="shared" si="7"/>
        <v>8.6164297703195309</v>
      </c>
      <c r="S5" s="1">
        <f t="shared" si="7"/>
        <v>8.7050111350283181</v>
      </c>
      <c r="T5" s="1">
        <f t="shared" si="7"/>
        <v>8.7808506042273731</v>
      </c>
      <c r="U5" s="1">
        <f t="shared" si="7"/>
        <v>8.8456587847733239</v>
      </c>
      <c r="V5" s="1">
        <f t="shared" si="7"/>
        <v>8.9018981459356894</v>
      </c>
      <c r="W5" s="1">
        <f t="shared" si="7"/>
        <v>8.952391121347187</v>
      </c>
      <c r="X5" s="1">
        <f t="shared" si="5"/>
        <v>9</v>
      </c>
      <c r="Y5" s="18">
        <f t="shared" si="6"/>
        <v>1.8</v>
      </c>
      <c r="Z5" s="17">
        <v>10</v>
      </c>
      <c r="AB5" s="13" t="s">
        <v>7</v>
      </c>
      <c r="AC5" s="4">
        <f>J9</f>
        <v>0</v>
      </c>
      <c r="AD5" s="4">
        <f t="shared" ref="AD5:AG5" si="8">K9</f>
        <v>0</v>
      </c>
      <c r="AE5" s="4">
        <f t="shared" si="8"/>
        <v>0</v>
      </c>
      <c r="AF5" s="4">
        <f t="shared" si="8"/>
        <v>0</v>
      </c>
      <c r="AG5" s="4">
        <f t="shared" si="8"/>
        <v>0</v>
      </c>
      <c r="AH5" s="4">
        <f>O10</f>
        <v>0</v>
      </c>
      <c r="AI5" s="4">
        <f>P11</f>
        <v>0</v>
      </c>
      <c r="AJ5" s="4">
        <f>Q12</f>
        <v>0</v>
      </c>
      <c r="AK5" s="4">
        <f>R13</f>
        <v>0</v>
      </c>
      <c r="AL5" s="4">
        <f>S14</f>
        <v>0</v>
      </c>
      <c r="AM5" s="4">
        <f t="shared" ref="AM5:AQ5" si="9">T14</f>
        <v>0</v>
      </c>
      <c r="AN5" s="4">
        <f t="shared" si="9"/>
        <v>0</v>
      </c>
      <c r="AO5" s="4">
        <f t="shared" si="9"/>
        <v>0</v>
      </c>
      <c r="AP5" s="4">
        <f t="shared" si="9"/>
        <v>0</v>
      </c>
      <c r="AQ5" s="4">
        <f t="shared" si="9"/>
        <v>0</v>
      </c>
    </row>
    <row r="6" spans="1:43" x14ac:dyDescent="0.25">
      <c r="A6" s="6" t="s">
        <v>3</v>
      </c>
      <c r="B6" s="7">
        <f>((I4-I9)*B4)/(Y4-Y14)</f>
        <v>5</v>
      </c>
      <c r="H6" s="17">
        <v>9</v>
      </c>
      <c r="I6" s="18">
        <f t="shared" si="2"/>
        <v>1.6</v>
      </c>
      <c r="J6" s="1">
        <f t="shared" si="3"/>
        <v>6</v>
      </c>
      <c r="K6" s="1">
        <f t="shared" ref="K6:W13" si="10">0.25*(K25+L24+K23+J24)</f>
        <v>6.0474797770574069</v>
      </c>
      <c r="L6" s="1">
        <f t="shared" si="10"/>
        <v>6.1108480139065797</v>
      </c>
      <c r="M6" s="1">
        <f t="shared" si="10"/>
        <v>6.2085205585978898</v>
      </c>
      <c r="N6" s="1">
        <f t="shared" si="10"/>
        <v>6.3603223410645953</v>
      </c>
      <c r="O6" s="1">
        <f t="shared" si="10"/>
        <v>6.5740902412188618</v>
      </c>
      <c r="P6" s="1">
        <f t="shared" si="10"/>
        <v>6.8116581433360892</v>
      </c>
      <c r="Q6" s="1">
        <f t="shared" si="10"/>
        <v>7.04135282222797</v>
      </c>
      <c r="R6" s="1">
        <f t="shared" si="10"/>
        <v>7.2472571750411889</v>
      </c>
      <c r="S6" s="1">
        <f t="shared" si="10"/>
        <v>7.4244927393936404</v>
      </c>
      <c r="T6" s="1">
        <f t="shared" si="10"/>
        <v>7.5744295890533255</v>
      </c>
      <c r="U6" s="1">
        <f t="shared" si="10"/>
        <v>7.701279774703</v>
      </c>
      <c r="V6" s="1">
        <f t="shared" si="10"/>
        <v>7.810595871320789</v>
      </c>
      <c r="W6" s="1">
        <f t="shared" si="10"/>
        <v>7.9082014035525496</v>
      </c>
      <c r="X6" s="1">
        <f t="shared" si="5"/>
        <v>8</v>
      </c>
      <c r="Y6" s="18">
        <f t="shared" si="6"/>
        <v>1.6</v>
      </c>
      <c r="Z6" s="17">
        <v>9</v>
      </c>
      <c r="AB6" s="13" t="s">
        <v>8</v>
      </c>
      <c r="AC6" s="5">
        <f>J45</f>
        <v>10</v>
      </c>
      <c r="AD6" s="5">
        <f t="shared" ref="AD6:AG6" si="11">K45</f>
        <v>10.173739418039588</v>
      </c>
      <c r="AE6" s="5">
        <f t="shared" si="11"/>
        <v>10.437807037016231</v>
      </c>
      <c r="AF6" s="5">
        <f t="shared" si="11"/>
        <v>10.957449275488932</v>
      </c>
      <c r="AG6" s="5">
        <f t="shared" si="11"/>
        <v>12.155715990304859</v>
      </c>
      <c r="AH6" s="5">
        <f>O46</f>
        <v>6.6120385864340276</v>
      </c>
      <c r="AI6" s="5">
        <f>P47</f>
        <v>4.979411041373309</v>
      </c>
      <c r="AJ6" s="5">
        <f>Q48</f>
        <v>3.9633628576716804</v>
      </c>
      <c r="AK6" s="5">
        <f>R49</f>
        <v>3.1154318345300225</v>
      </c>
      <c r="AL6" s="5">
        <f>S50</f>
        <v>2.1649804571251265</v>
      </c>
      <c r="AM6" s="5">
        <f t="shared" ref="AM6:AQ6" si="12">T50</f>
        <v>3.2552114270254262</v>
      </c>
      <c r="AN6" s="5">
        <f t="shared" si="12"/>
        <v>3.9064780213983368</v>
      </c>
      <c r="AO6" s="5">
        <f t="shared" si="12"/>
        <v>4.3523949895504748</v>
      </c>
      <c r="AP6" s="5">
        <f t="shared" si="12"/>
        <v>4.6974809893858902</v>
      </c>
      <c r="AQ6" s="5">
        <f t="shared" si="12"/>
        <v>5</v>
      </c>
    </row>
    <row r="7" spans="1:43" x14ac:dyDescent="0.25">
      <c r="A7" s="6"/>
      <c r="B7" s="7"/>
      <c r="H7" s="17">
        <v>8</v>
      </c>
      <c r="I7" s="18">
        <f t="shared" si="2"/>
        <v>1.4000000000000001</v>
      </c>
      <c r="J7" s="1">
        <f t="shared" si="3"/>
        <v>4</v>
      </c>
      <c r="K7" s="1">
        <f t="shared" si="10"/>
        <v>4.0515821936456247</v>
      </c>
      <c r="L7" s="1">
        <f t="shared" si="10"/>
        <v>4.1243314057516018</v>
      </c>
      <c r="M7" s="1">
        <f t="shared" si="10"/>
        <v>4.2478522844641819</v>
      </c>
      <c r="N7" s="1">
        <f t="shared" si="10"/>
        <v>4.4679217743091897</v>
      </c>
      <c r="O7" s="1">
        <f t="shared" si="10"/>
        <v>4.8337732929082948</v>
      </c>
      <c r="P7" s="1">
        <f t="shared" si="10"/>
        <v>5.2289719466282305</v>
      </c>
      <c r="Q7" s="1">
        <f t="shared" si="10"/>
        <v>5.594167682235371</v>
      </c>
      <c r="R7" s="1">
        <f t="shared" si="10"/>
        <v>5.9098565350191787</v>
      </c>
      <c r="S7" s="1">
        <f t="shared" si="10"/>
        <v>6.174613933856131</v>
      </c>
      <c r="T7" s="1">
        <f t="shared" si="10"/>
        <v>6.3941573791091866</v>
      </c>
      <c r="U7" s="1">
        <f t="shared" si="10"/>
        <v>6.5771482518868547</v>
      </c>
      <c r="V7" s="1">
        <f t="shared" si="10"/>
        <v>6.7329137210563328</v>
      </c>
      <c r="W7" s="1">
        <f t="shared" si="10"/>
        <v>6.8708635939607126</v>
      </c>
      <c r="X7" s="1">
        <f t="shared" si="5"/>
        <v>7</v>
      </c>
      <c r="Y7" s="18">
        <f t="shared" si="6"/>
        <v>1.4000000000000001</v>
      </c>
      <c r="Z7" s="17">
        <v>8</v>
      </c>
      <c r="AB7" s="13" t="s">
        <v>9</v>
      </c>
      <c r="AC7" s="5">
        <f>J62</f>
        <v>0</v>
      </c>
      <c r="AD7" s="5">
        <f t="shared" ref="AD7:AG7" si="13">K62</f>
        <v>0</v>
      </c>
      <c r="AE7" s="5">
        <f t="shared" si="13"/>
        <v>0</v>
      </c>
      <c r="AF7" s="5">
        <f t="shared" si="13"/>
        <v>0</v>
      </c>
      <c r="AG7" s="5">
        <f t="shared" si="13"/>
        <v>-3.3060192932170138</v>
      </c>
      <c r="AH7" s="5">
        <f>O63</f>
        <v>-4.979411041373309</v>
      </c>
      <c r="AI7" s="5">
        <f>P64</f>
        <v>-3.9633628576716804</v>
      </c>
      <c r="AJ7" s="5">
        <f>Q65</f>
        <v>-3.1154318345300225</v>
      </c>
      <c r="AK7" s="5">
        <f>R66</f>
        <v>-2.1649804571251265</v>
      </c>
      <c r="AL7" s="5">
        <f>S67</f>
        <v>0</v>
      </c>
      <c r="AM7" s="5">
        <f t="shared" ref="AM7:AQ7" si="14">T67</f>
        <v>0</v>
      </c>
      <c r="AN7" s="5">
        <f t="shared" si="14"/>
        <v>0</v>
      </c>
      <c r="AO7" s="5">
        <f t="shared" si="14"/>
        <v>0</v>
      </c>
      <c r="AP7" s="5">
        <f t="shared" si="14"/>
        <v>0</v>
      </c>
      <c r="AQ7" s="5">
        <f t="shared" si="14"/>
        <v>0</v>
      </c>
    </row>
    <row r="8" spans="1:43" x14ac:dyDescent="0.25">
      <c r="A8" s="6" t="s">
        <v>4</v>
      </c>
      <c r="B8" s="7">
        <v>50</v>
      </c>
      <c r="H8" s="17">
        <v>7</v>
      </c>
      <c r="I8" s="18">
        <f t="shared" si="2"/>
        <v>1.2000000000000002</v>
      </c>
      <c r="J8" s="1">
        <f>J9+$B$4*$B$2</f>
        <v>2</v>
      </c>
      <c r="K8" s="1">
        <f t="shared" si="10"/>
        <v>2.0347478836079178</v>
      </c>
      <c r="L8" s="1">
        <f t="shared" si="10"/>
        <v>2.0875614074032462</v>
      </c>
      <c r="M8" s="1">
        <f t="shared" si="10"/>
        <v>2.1914898550977866</v>
      </c>
      <c r="N8" s="1">
        <f t="shared" si="10"/>
        <v>2.4311431980609721</v>
      </c>
      <c r="O8" s="1">
        <f t="shared" si="10"/>
        <v>3.0661594317740448</v>
      </c>
      <c r="P8" s="1">
        <f t="shared" si="10"/>
        <v>3.6792249137659985</v>
      </c>
      <c r="Q8" s="1">
        <f t="shared" si="10"/>
        <v>4.2000405580717715</v>
      </c>
      <c r="R8" s="1">
        <f t="shared" si="10"/>
        <v>4.6276115046182609</v>
      </c>
      <c r="S8" s="1">
        <f t="shared" si="10"/>
        <v>4.9742287603716564</v>
      </c>
      <c r="T8" s="1">
        <f t="shared" si="10"/>
        <v>5.2546931897154945</v>
      </c>
      <c r="U8" s="1">
        <f t="shared" si="10"/>
        <v>5.4837649663343893</v>
      </c>
      <c r="V8" s="1">
        <f t="shared" si="10"/>
        <v>5.675723580781832</v>
      </c>
      <c r="W8" s="1">
        <f t="shared" si="10"/>
        <v>5.84370277744258</v>
      </c>
      <c r="X8" s="1">
        <f t="shared" si="5"/>
        <v>6</v>
      </c>
      <c r="Y8" s="18">
        <f t="shared" si="6"/>
        <v>1.2000000000000002</v>
      </c>
      <c r="Z8" s="17">
        <v>7</v>
      </c>
      <c r="AB8" s="13" t="s">
        <v>10</v>
      </c>
      <c r="AC8" s="5">
        <f>J79</f>
        <v>10</v>
      </c>
      <c r="AD8" s="5">
        <f t="shared" ref="AD8:AG8" si="15">K79</f>
        <v>10.173739418039588</v>
      </c>
      <c r="AE8" s="5">
        <f t="shared" si="15"/>
        <v>10.437807037016231</v>
      </c>
      <c r="AF8" s="5">
        <f t="shared" si="15"/>
        <v>10.957449275488932</v>
      </c>
      <c r="AG8" s="5">
        <f t="shared" si="15"/>
        <v>12.597269339189204</v>
      </c>
      <c r="AH8" s="5">
        <f>O80</f>
        <v>8.2772935545045705</v>
      </c>
      <c r="AI8" s="5">
        <f>P81</f>
        <v>6.36417940197492</v>
      </c>
      <c r="AJ8" s="5">
        <f>Q82</f>
        <v>5.0412459429365803</v>
      </c>
      <c r="AK8" s="5">
        <f>R83</f>
        <v>3.7938181157426119</v>
      </c>
      <c r="AL8" s="5">
        <f>S84</f>
        <v>2.1649804571251265</v>
      </c>
      <c r="AM8" s="5">
        <f t="shared" ref="AM8:AP8" si="16">T84</f>
        <v>3.2552114270254262</v>
      </c>
      <c r="AN8" s="5">
        <f t="shared" si="16"/>
        <v>3.9064780213983368</v>
      </c>
      <c r="AO8" s="5">
        <f t="shared" si="16"/>
        <v>4.3523949895504748</v>
      </c>
      <c r="AP8" s="5">
        <f t="shared" si="16"/>
        <v>4.6974809893858902</v>
      </c>
      <c r="AQ8" s="5">
        <f>X84</f>
        <v>5</v>
      </c>
    </row>
    <row r="9" spans="1:43" x14ac:dyDescent="0.25">
      <c r="A9" s="6"/>
      <c r="B9" s="7"/>
      <c r="H9" s="17">
        <v>6</v>
      </c>
      <c r="I9" s="18">
        <f t="shared" si="2"/>
        <v>1</v>
      </c>
      <c r="J9" s="1">
        <f>$B$14</f>
        <v>0</v>
      </c>
      <c r="K9" s="1">
        <f t="shared" ref="K9:X14" si="17">$B$14</f>
        <v>0</v>
      </c>
      <c r="L9" s="1">
        <f t="shared" si="17"/>
        <v>0</v>
      </c>
      <c r="M9" s="1">
        <f t="shared" si="17"/>
        <v>0</v>
      </c>
      <c r="N9" s="1">
        <f t="shared" si="17"/>
        <v>0</v>
      </c>
      <c r="O9" s="1">
        <f t="shared" si="10"/>
        <v>1.3224077172868056</v>
      </c>
      <c r="P9" s="1">
        <f t="shared" si="10"/>
        <v>2.224557063395582</v>
      </c>
      <c r="Q9" s="1">
        <f>0.25*(Q28+R27+Q26+P27)</f>
        <v>2.9030579737296409</v>
      </c>
      <c r="R9" s="1">
        <f t="shared" si="10"/>
        <v>3.430777799827383</v>
      </c>
      <c r="S9" s="1">
        <f t="shared" si="10"/>
        <v>3.8449563219274094</v>
      </c>
      <c r="T9" s="1">
        <f t="shared" si="10"/>
        <v>4.1712640679178552</v>
      </c>
      <c r="U9" s="1">
        <f t="shared" si="10"/>
        <v>4.4316635721774453</v>
      </c>
      <c r="V9" s="1">
        <f t="shared" si="10"/>
        <v>4.6454704985288258</v>
      </c>
      <c r="W9" s="1">
        <f t="shared" si="10"/>
        <v>4.8298495402349406</v>
      </c>
      <c r="X9" s="1">
        <f t="shared" si="5"/>
        <v>5</v>
      </c>
      <c r="Y9" s="18">
        <f t="shared" si="6"/>
        <v>1</v>
      </c>
      <c r="Z9" s="17">
        <v>6</v>
      </c>
      <c r="AB9" s="13" t="s">
        <v>13</v>
      </c>
      <c r="AC9" s="10">
        <f>B5</f>
        <v>101325</v>
      </c>
      <c r="AD9" s="10">
        <f>(AC9+(AC8^2)/2)-(AD8^2)/2</f>
        <v>101323.24751312692</v>
      </c>
      <c r="AE9" s="10">
        <f t="shared" ref="AE9:AQ9" si="18">(AD9+(AD8^2)/2)-(AE8^2)/2</f>
        <v>101320.526092129</v>
      </c>
      <c r="AF9" s="10">
        <f t="shared" si="18"/>
        <v>101314.96715268755</v>
      </c>
      <c r="AG9" s="10">
        <f t="shared" si="18"/>
        <v>101295.65440259797</v>
      </c>
      <c r="AH9" s="10">
        <f t="shared" si="18"/>
        <v>101340.74320570628</v>
      </c>
      <c r="AI9" s="10">
        <f t="shared" si="18"/>
        <v>101354.74861026974</v>
      </c>
      <c r="AJ9" s="10">
        <f t="shared" si="18"/>
        <v>101362.29291967141</v>
      </c>
      <c r="AK9" s="10">
        <f t="shared" si="18"/>
        <v>101367.80347205233</v>
      </c>
      <c r="AL9" s="10">
        <f t="shared" si="18"/>
        <v>101372.65642981013</v>
      </c>
      <c r="AM9" s="10">
        <f t="shared" si="18"/>
        <v>101369.70179928269</v>
      </c>
      <c r="AN9" s="10">
        <f t="shared" si="18"/>
        <v>101367.36971473416</v>
      </c>
      <c r="AO9" s="10">
        <f t="shared" si="18"/>
        <v>101365.52832892747</v>
      </c>
      <c r="AP9" s="10">
        <f t="shared" si="18"/>
        <v>101363.96683617718</v>
      </c>
      <c r="AQ9" s="10">
        <f t="shared" si="18"/>
        <v>101362.5</v>
      </c>
    </row>
    <row r="10" spans="1:43" x14ac:dyDescent="0.25">
      <c r="A10" s="6" t="s">
        <v>5</v>
      </c>
      <c r="B10" s="7">
        <v>15</v>
      </c>
      <c r="H10" s="17">
        <v>5</v>
      </c>
      <c r="I10" s="18">
        <f t="shared" si="2"/>
        <v>0.8</v>
      </c>
      <c r="J10" s="4"/>
      <c r="K10" s="4"/>
      <c r="L10" s="4"/>
      <c r="M10" s="4"/>
      <c r="N10" s="4"/>
      <c r="O10" s="1">
        <f t="shared" si="17"/>
        <v>0</v>
      </c>
      <c r="P10" s="1">
        <f t="shared" si="10"/>
        <v>0.99588220827466178</v>
      </c>
      <c r="Q10" s="1">
        <f>0.25*(Q29+R28+Q27+P28)</f>
        <v>1.7602278963905889</v>
      </c>
      <c r="R10" s="1">
        <f t="shared" si="10"/>
        <v>2.3518792056595035</v>
      </c>
      <c r="S10" s="1">
        <f t="shared" si="10"/>
        <v>2.8082487972987922</v>
      </c>
      <c r="T10" s="1">
        <f t="shared" si="10"/>
        <v>3.1585630551490782</v>
      </c>
      <c r="U10" s="1">
        <f t="shared" si="10"/>
        <v>3.4302237928664909</v>
      </c>
      <c r="V10" s="1">
        <f t="shared" si="10"/>
        <v>3.6477728402190541</v>
      </c>
      <c r="W10" s="1">
        <f t="shared" si="10"/>
        <v>3.8318280715867288</v>
      </c>
      <c r="X10" s="1">
        <f t="shared" si="5"/>
        <v>4</v>
      </c>
      <c r="Y10" s="18">
        <f t="shared" si="6"/>
        <v>0.8</v>
      </c>
      <c r="Z10" s="17">
        <v>5</v>
      </c>
      <c r="AB10" s="13" t="s">
        <v>14</v>
      </c>
      <c r="AC10" s="5">
        <f>(AC9-$B$5)/(($B$4^2)/2)</f>
        <v>0</v>
      </c>
      <c r="AD10" s="5">
        <f>(AD9-$B$5)/(($B$4^2)/2)</f>
        <v>-3.5049737461667972E-2</v>
      </c>
      <c r="AE10" s="5">
        <f t="shared" ref="AE10:AQ10" si="19">(AE9-$B$5)/(($B$4^2)/2)</f>
        <v>-8.9478157419944179E-2</v>
      </c>
      <c r="AF10" s="5">
        <f t="shared" si="19"/>
        <v>-0.20065694624907338</v>
      </c>
      <c r="AG10" s="5">
        <f t="shared" si="19"/>
        <v>-0.58691194804065161</v>
      </c>
      <c r="AH10" s="5">
        <f t="shared" si="19"/>
        <v>0.31486411412566667</v>
      </c>
      <c r="AI10" s="5">
        <f t="shared" si="19"/>
        <v>0.59497220539487894</v>
      </c>
      <c r="AJ10" s="5">
        <f t="shared" si="19"/>
        <v>0.74585839342820692</v>
      </c>
      <c r="AK10" s="5">
        <f t="shared" si="19"/>
        <v>0.85606944104656579</v>
      </c>
      <c r="AL10" s="5">
        <f t="shared" si="19"/>
        <v>0.95312859620258683</v>
      </c>
      <c r="AM10" s="5">
        <f t="shared" si="19"/>
        <v>0.89403598565375431</v>
      </c>
      <c r="AN10" s="5">
        <f t="shared" si="19"/>
        <v>0.84739429468318117</v>
      </c>
      <c r="AO10" s="5">
        <f t="shared" si="19"/>
        <v>0.81056657854933289</v>
      </c>
      <c r="AP10" s="5">
        <f t="shared" si="19"/>
        <v>0.7793367235435289</v>
      </c>
      <c r="AQ10" s="5">
        <f t="shared" si="19"/>
        <v>0.75</v>
      </c>
    </row>
    <row r="11" spans="1:43" x14ac:dyDescent="0.25">
      <c r="A11" s="6" t="s">
        <v>6</v>
      </c>
      <c r="B11" s="7">
        <v>11</v>
      </c>
      <c r="H11" s="17">
        <v>4</v>
      </c>
      <c r="I11" s="18">
        <f t="shared" si="2"/>
        <v>0.60000000000000009</v>
      </c>
      <c r="J11" s="4"/>
      <c r="K11" s="4"/>
      <c r="L11" s="4"/>
      <c r="M11" s="4"/>
      <c r="N11" s="4"/>
      <c r="O11" s="4"/>
      <c r="P11" s="1">
        <f t="shared" si="17"/>
        <v>0</v>
      </c>
      <c r="Q11" s="1">
        <f>0.25*(Q30+R29+Q28+P29)</f>
        <v>0.79267257153433612</v>
      </c>
      <c r="R11" s="1">
        <f t="shared" si="10"/>
        <v>1.4117499014892618</v>
      </c>
      <c r="S11" s="1">
        <f t="shared" si="10"/>
        <v>1.8818295676330967</v>
      </c>
      <c r="T11" s="1">
        <f t="shared" si="10"/>
        <v>2.2286747397129871</v>
      </c>
      <c r="U11" s="1">
        <f t="shared" si="10"/>
        <v>2.4867361780155353</v>
      </c>
      <c r="V11" s="1">
        <f t="shared" si="10"/>
        <v>2.6863372566983843</v>
      </c>
      <c r="W11" s="1">
        <f t="shared" si="10"/>
        <v>2.8512238619792174</v>
      </c>
      <c r="X11" s="1">
        <f t="shared" si="5"/>
        <v>3</v>
      </c>
      <c r="Y11" s="18">
        <f t="shared" si="6"/>
        <v>0.60000000000000009</v>
      </c>
      <c r="Z11" s="17">
        <v>4</v>
      </c>
    </row>
    <row r="12" spans="1:43" x14ac:dyDescent="0.25">
      <c r="A12" s="37"/>
      <c r="B12" s="38"/>
      <c r="H12" s="17">
        <v>3</v>
      </c>
      <c r="I12" s="18">
        <f t="shared" si="2"/>
        <v>0.4</v>
      </c>
      <c r="J12" s="4"/>
      <c r="K12" s="4"/>
      <c r="L12" s="4"/>
      <c r="M12" s="4"/>
      <c r="N12" s="4"/>
      <c r="O12" s="4"/>
      <c r="P12" s="4"/>
      <c r="Q12" s="1">
        <f t="shared" si="17"/>
        <v>0</v>
      </c>
      <c r="R12" s="1">
        <f t="shared" si="10"/>
        <v>0.6230863669060045</v>
      </c>
      <c r="S12" s="1">
        <f t="shared" si="10"/>
        <v>1.0817298021134043</v>
      </c>
      <c r="T12" s="1">
        <f t="shared" si="10"/>
        <v>1.3909869077865067</v>
      </c>
      <c r="U12" s="1">
        <f t="shared" si="10"/>
        <v>1.6047088939948035</v>
      </c>
      <c r="V12" s="1">
        <f t="shared" si="10"/>
        <v>1.761970385682045</v>
      </c>
      <c r="W12" s="1">
        <f t="shared" si="10"/>
        <v>1.8879493033707164</v>
      </c>
      <c r="X12" s="1">
        <f t="shared" si="5"/>
        <v>2</v>
      </c>
      <c r="Y12" s="18">
        <f t="shared" si="6"/>
        <v>0.4</v>
      </c>
      <c r="Z12" s="17">
        <v>3</v>
      </c>
    </row>
    <row r="13" spans="1:43" x14ac:dyDescent="0.25">
      <c r="A13" s="37"/>
      <c r="B13" s="38"/>
      <c r="H13" s="17">
        <v>2</v>
      </c>
      <c r="I13" s="18">
        <f>$B$2*(H13-1)</f>
        <v>0.2</v>
      </c>
      <c r="J13" s="4"/>
      <c r="K13" s="4"/>
      <c r="L13" s="4"/>
      <c r="M13" s="4"/>
      <c r="N13" s="4"/>
      <c r="O13" s="4"/>
      <c r="P13" s="4"/>
      <c r="Q13" s="4"/>
      <c r="R13" s="1">
        <f t="shared" si="17"/>
        <v>0</v>
      </c>
      <c r="S13" s="1">
        <f t="shared" si="10"/>
        <v>0.43299609142502538</v>
      </c>
      <c r="T13" s="1">
        <f t="shared" si="10"/>
        <v>0.65104228540508524</v>
      </c>
      <c r="U13" s="1">
        <f t="shared" si="10"/>
        <v>0.78129560427966738</v>
      </c>
      <c r="V13" s="1">
        <f t="shared" si="10"/>
        <v>0.87047899791009509</v>
      </c>
      <c r="W13" s="1">
        <f t="shared" si="10"/>
        <v>0.93949619787717809</v>
      </c>
      <c r="X13" s="1">
        <f>X14+$B$6*$B$2</f>
        <v>1</v>
      </c>
      <c r="Y13" s="18">
        <f>$B$2*(Z13-1)</f>
        <v>0.2</v>
      </c>
      <c r="Z13" s="17">
        <v>2</v>
      </c>
      <c r="AB13" s="11" t="s">
        <v>16</v>
      </c>
      <c r="AC13" s="14">
        <v>1</v>
      </c>
      <c r="AD13" s="14">
        <v>2</v>
      </c>
      <c r="AE13" s="14">
        <v>3</v>
      </c>
      <c r="AF13" s="14">
        <v>4</v>
      </c>
      <c r="AG13" s="14">
        <v>5</v>
      </c>
      <c r="AH13" s="14">
        <v>6</v>
      </c>
      <c r="AI13" s="14">
        <v>7</v>
      </c>
      <c r="AJ13" s="14">
        <v>8</v>
      </c>
      <c r="AK13" s="14">
        <v>9</v>
      </c>
      <c r="AL13" s="14">
        <v>10</v>
      </c>
      <c r="AM13" s="14">
        <v>11</v>
      </c>
      <c r="AN13" s="14">
        <v>12</v>
      </c>
      <c r="AO13" s="14">
        <v>13</v>
      </c>
      <c r="AP13" s="14">
        <v>14</v>
      </c>
      <c r="AQ13" s="14">
        <v>15</v>
      </c>
    </row>
    <row r="14" spans="1:43" x14ac:dyDescent="0.25">
      <c r="A14" s="8" t="s">
        <v>7</v>
      </c>
      <c r="B14" s="7">
        <v>0</v>
      </c>
      <c r="H14" s="17">
        <v>1</v>
      </c>
      <c r="I14" s="18">
        <v>0</v>
      </c>
      <c r="J14" s="4"/>
      <c r="K14" s="4"/>
      <c r="L14" s="4"/>
      <c r="M14" s="4"/>
      <c r="N14" s="4"/>
      <c r="O14" s="4"/>
      <c r="P14" s="4"/>
      <c r="Q14" s="4"/>
      <c r="R14" s="4"/>
      <c r="S14" s="1">
        <f t="shared" si="17"/>
        <v>0</v>
      </c>
      <c r="T14" s="1">
        <f t="shared" si="17"/>
        <v>0</v>
      </c>
      <c r="U14" s="1">
        <f t="shared" si="17"/>
        <v>0</v>
      </c>
      <c r="V14" s="1">
        <f t="shared" si="17"/>
        <v>0</v>
      </c>
      <c r="W14" s="1">
        <f t="shared" si="17"/>
        <v>0</v>
      </c>
      <c r="X14" s="1">
        <f t="shared" si="17"/>
        <v>0</v>
      </c>
      <c r="Y14" s="18">
        <v>0</v>
      </c>
      <c r="Z14" s="17">
        <v>1</v>
      </c>
      <c r="AB14" s="12" t="s">
        <v>11</v>
      </c>
      <c r="AC14" s="9">
        <f>$B$2*(AC13-1)</f>
        <v>0</v>
      </c>
      <c r="AD14" s="10">
        <f t="shared" ref="AD14:AQ14" si="20">$B$2*(AD13-1)</f>
        <v>0.2</v>
      </c>
      <c r="AE14" s="10">
        <f t="shared" si="20"/>
        <v>0.4</v>
      </c>
      <c r="AF14" s="10">
        <f t="shared" si="20"/>
        <v>0.60000000000000009</v>
      </c>
      <c r="AG14" s="10">
        <f t="shared" si="20"/>
        <v>0.8</v>
      </c>
      <c r="AH14" s="10">
        <f t="shared" si="20"/>
        <v>1</v>
      </c>
      <c r="AI14" s="10">
        <f t="shared" si="20"/>
        <v>1.2000000000000002</v>
      </c>
      <c r="AJ14" s="10">
        <f t="shared" si="20"/>
        <v>1.4000000000000001</v>
      </c>
      <c r="AK14" s="10">
        <f t="shared" si="20"/>
        <v>1.6</v>
      </c>
      <c r="AL14" s="10">
        <f t="shared" si="20"/>
        <v>1.8</v>
      </c>
      <c r="AM14" s="10">
        <f t="shared" si="20"/>
        <v>2</v>
      </c>
      <c r="AN14" s="10">
        <f t="shared" si="20"/>
        <v>2.2000000000000002</v>
      </c>
      <c r="AO14" s="10">
        <f t="shared" si="20"/>
        <v>2.4000000000000004</v>
      </c>
      <c r="AP14" s="10">
        <f t="shared" si="20"/>
        <v>2.6</v>
      </c>
      <c r="AQ14" s="10">
        <f t="shared" si="20"/>
        <v>2.8000000000000003</v>
      </c>
    </row>
    <row r="15" spans="1:43" x14ac:dyDescent="0.25">
      <c r="H15" s="19"/>
      <c r="I15" s="20"/>
      <c r="J15" s="17">
        <f>$B$2*(J16-1)</f>
        <v>0</v>
      </c>
      <c r="K15" s="17">
        <f t="shared" ref="K15:X15" si="21">$B$2*(K16-1)</f>
        <v>0.2</v>
      </c>
      <c r="L15" s="17">
        <f t="shared" si="21"/>
        <v>0.4</v>
      </c>
      <c r="M15" s="17">
        <f t="shared" si="21"/>
        <v>0.60000000000000009</v>
      </c>
      <c r="N15" s="17">
        <f t="shared" si="21"/>
        <v>0.8</v>
      </c>
      <c r="O15" s="17">
        <f t="shared" si="21"/>
        <v>1</v>
      </c>
      <c r="P15" s="17">
        <f t="shared" si="21"/>
        <v>1.2000000000000002</v>
      </c>
      <c r="Q15" s="17">
        <f t="shared" si="21"/>
        <v>1.4000000000000001</v>
      </c>
      <c r="R15" s="17">
        <f t="shared" si="21"/>
        <v>1.6</v>
      </c>
      <c r="S15" s="17">
        <f t="shared" si="21"/>
        <v>1.8</v>
      </c>
      <c r="T15" s="17">
        <f t="shared" si="21"/>
        <v>2</v>
      </c>
      <c r="U15" s="17">
        <f t="shared" si="21"/>
        <v>2.2000000000000002</v>
      </c>
      <c r="V15" s="17">
        <f t="shared" si="21"/>
        <v>2.4000000000000004</v>
      </c>
      <c r="W15" s="17">
        <f t="shared" si="21"/>
        <v>2.6</v>
      </c>
      <c r="X15" s="17">
        <f t="shared" si="21"/>
        <v>2.8000000000000003</v>
      </c>
      <c r="Y15" s="25"/>
      <c r="Z15" s="24"/>
      <c r="AB15" s="12" t="s">
        <v>12</v>
      </c>
      <c r="AC15" s="10">
        <v>1</v>
      </c>
      <c r="AD15" s="10">
        <v>1</v>
      </c>
      <c r="AE15" s="10">
        <v>1</v>
      </c>
      <c r="AF15" s="10">
        <v>1</v>
      </c>
      <c r="AG15" s="10">
        <v>1</v>
      </c>
      <c r="AH15" s="10">
        <v>0.8</v>
      </c>
      <c r="AI15" s="10">
        <v>0.6</v>
      </c>
      <c r="AJ15" s="10">
        <v>0.4</v>
      </c>
      <c r="AK15" s="10">
        <v>0.2</v>
      </c>
      <c r="AL15" s="10">
        <v>0</v>
      </c>
      <c r="AM15" s="10">
        <v>0</v>
      </c>
      <c r="AN15" s="10">
        <v>0</v>
      </c>
      <c r="AO15" s="10">
        <v>0</v>
      </c>
      <c r="AP15" s="10">
        <v>0</v>
      </c>
      <c r="AQ15" s="10">
        <v>0</v>
      </c>
    </row>
    <row r="16" spans="1:43" x14ac:dyDescent="0.25">
      <c r="H16" s="21"/>
      <c r="I16" s="22"/>
      <c r="J16" s="17">
        <v>1</v>
      </c>
      <c r="K16" s="17">
        <v>2</v>
      </c>
      <c r="L16" s="17">
        <v>3</v>
      </c>
      <c r="M16" s="17">
        <v>4</v>
      </c>
      <c r="N16" s="17">
        <v>5</v>
      </c>
      <c r="O16" s="17">
        <v>6</v>
      </c>
      <c r="P16" s="17">
        <v>7</v>
      </c>
      <c r="Q16" s="17">
        <v>8</v>
      </c>
      <c r="R16" s="17">
        <v>9</v>
      </c>
      <c r="S16" s="17">
        <v>10</v>
      </c>
      <c r="T16" s="17">
        <v>11</v>
      </c>
      <c r="U16" s="17">
        <v>12</v>
      </c>
      <c r="V16" s="17">
        <v>13</v>
      </c>
      <c r="W16" s="17">
        <v>14</v>
      </c>
      <c r="X16" s="17">
        <v>15</v>
      </c>
      <c r="Y16" s="27"/>
      <c r="Z16" s="26"/>
      <c r="AB16" s="13" t="s">
        <v>7</v>
      </c>
      <c r="AC16" s="4">
        <f>J4</f>
        <v>10</v>
      </c>
      <c r="AD16" s="4">
        <f t="shared" ref="AD16:AQ16" si="22">K4</f>
        <v>10</v>
      </c>
      <c r="AE16" s="4">
        <f t="shared" si="22"/>
        <v>10</v>
      </c>
      <c r="AF16" s="4">
        <f t="shared" si="22"/>
        <v>10</v>
      </c>
      <c r="AG16" s="4">
        <f t="shared" si="22"/>
        <v>10</v>
      </c>
      <c r="AH16" s="4">
        <f t="shared" si="22"/>
        <v>10</v>
      </c>
      <c r="AI16" s="4">
        <f t="shared" si="22"/>
        <v>10</v>
      </c>
      <c r="AJ16" s="4">
        <f t="shared" si="22"/>
        <v>10</v>
      </c>
      <c r="AK16" s="4">
        <f t="shared" si="22"/>
        <v>10</v>
      </c>
      <c r="AL16" s="4">
        <f t="shared" si="22"/>
        <v>10</v>
      </c>
      <c r="AM16" s="4">
        <f t="shared" si="22"/>
        <v>10</v>
      </c>
      <c r="AN16" s="4">
        <f t="shared" si="22"/>
        <v>10</v>
      </c>
      <c r="AO16" s="4">
        <f t="shared" si="22"/>
        <v>10</v>
      </c>
      <c r="AP16" s="4">
        <f t="shared" si="22"/>
        <v>10</v>
      </c>
      <c r="AQ16" s="4">
        <f t="shared" si="22"/>
        <v>10</v>
      </c>
    </row>
    <row r="17" spans="8:43" x14ac:dyDescent="0.25"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AB17" s="13" t="s">
        <v>8</v>
      </c>
      <c r="AC17" s="5">
        <f>J40</f>
        <v>10</v>
      </c>
      <c r="AD17" s="5">
        <f t="shared" ref="AD17:AQ17" si="23">K40</f>
        <v>9.8613951507299014</v>
      </c>
      <c r="AE17" s="5">
        <f t="shared" si="23"/>
        <v>9.6823018230490554</v>
      </c>
      <c r="AF17" s="5">
        <f>M40</f>
        <v>9.4205571411246058</v>
      </c>
      <c r="AG17" s="5">
        <f t="shared" si="23"/>
        <v>9.040158835117369</v>
      </c>
      <c r="AH17" s="5">
        <f t="shared" si="23"/>
        <v>8.538039043672514</v>
      </c>
      <c r="AI17" s="5">
        <f t="shared" si="23"/>
        <v>7.9775780668052665</v>
      </c>
      <c r="AJ17" s="5">
        <f t="shared" si="23"/>
        <v>7.4240488943604621</v>
      </c>
      <c r="AK17" s="5">
        <f t="shared" si="23"/>
        <v>6.9178511484023453</v>
      </c>
      <c r="AL17" s="5">
        <f t="shared" si="23"/>
        <v>6.4749443248584093</v>
      </c>
      <c r="AM17" s="5">
        <f t="shared" si="23"/>
        <v>6.0957469788631347</v>
      </c>
      <c r="AN17" s="5">
        <f t="shared" si="23"/>
        <v>5.7717060761333805</v>
      </c>
      <c r="AO17" s="5">
        <f t="shared" si="23"/>
        <v>5.490509270321553</v>
      </c>
      <c r="AP17" s="5">
        <f t="shared" si="23"/>
        <v>5.2380443932640652</v>
      </c>
      <c r="AQ17" s="5">
        <f t="shared" si="23"/>
        <v>5</v>
      </c>
    </row>
    <row r="18" spans="8:43" x14ac:dyDescent="0.25"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AB18" s="13" t="s">
        <v>9</v>
      </c>
      <c r="AC18" s="5">
        <f>J57</f>
        <v>0</v>
      </c>
      <c r="AD18" s="5">
        <f t="shared" ref="AD18:AQ18" si="24">K57</f>
        <v>0</v>
      </c>
      <c r="AE18" s="5">
        <f t="shared" si="24"/>
        <v>0</v>
      </c>
      <c r="AF18" s="5">
        <f t="shared" si="24"/>
        <v>0</v>
      </c>
      <c r="AG18" s="5">
        <f t="shared" si="24"/>
        <v>0</v>
      </c>
      <c r="AH18" s="5">
        <f t="shared" si="24"/>
        <v>0</v>
      </c>
      <c r="AI18" s="5">
        <f t="shared" si="24"/>
        <v>0</v>
      </c>
      <c r="AJ18" s="5">
        <f t="shared" si="24"/>
        <v>0</v>
      </c>
      <c r="AK18" s="5">
        <f t="shared" si="24"/>
        <v>0</v>
      </c>
      <c r="AL18" s="5">
        <f t="shared" si="24"/>
        <v>0</v>
      </c>
      <c r="AM18" s="5">
        <f t="shared" si="24"/>
        <v>0</v>
      </c>
      <c r="AN18" s="5">
        <f t="shared" si="24"/>
        <v>0</v>
      </c>
      <c r="AO18" s="5">
        <f t="shared" si="24"/>
        <v>0</v>
      </c>
      <c r="AP18" s="5">
        <f t="shared" si="24"/>
        <v>0</v>
      </c>
      <c r="AQ18" s="5">
        <f t="shared" si="24"/>
        <v>0</v>
      </c>
    </row>
    <row r="19" spans="8:43" x14ac:dyDescent="0.25"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AB19" s="13" t="s">
        <v>10</v>
      </c>
      <c r="AC19" s="5">
        <f>J74</f>
        <v>10</v>
      </c>
      <c r="AD19" s="5">
        <f t="shared" ref="AD19:AQ19" si="25">K74</f>
        <v>9.8613951507299014</v>
      </c>
      <c r="AE19" s="5">
        <f t="shared" si="25"/>
        <v>9.6823018230490554</v>
      </c>
      <c r="AF19" s="5">
        <f t="shared" si="25"/>
        <v>9.4205571411246058</v>
      </c>
      <c r="AG19" s="5">
        <f t="shared" si="25"/>
        <v>9.040158835117369</v>
      </c>
      <c r="AH19" s="5">
        <f t="shared" si="25"/>
        <v>8.538039043672514</v>
      </c>
      <c r="AI19" s="5">
        <f t="shared" si="25"/>
        <v>7.9775780668052665</v>
      </c>
      <c r="AJ19" s="5">
        <f t="shared" si="25"/>
        <v>7.4240488943604621</v>
      </c>
      <c r="AK19" s="5">
        <f t="shared" si="25"/>
        <v>6.9178511484023453</v>
      </c>
      <c r="AL19" s="5">
        <f t="shared" si="25"/>
        <v>6.4749443248584093</v>
      </c>
      <c r="AM19" s="5">
        <f t="shared" si="25"/>
        <v>6.0957469788631347</v>
      </c>
      <c r="AN19" s="5">
        <f t="shared" si="25"/>
        <v>5.7717060761333805</v>
      </c>
      <c r="AO19" s="5">
        <f t="shared" si="25"/>
        <v>5.490509270321553</v>
      </c>
      <c r="AP19" s="5">
        <f t="shared" si="25"/>
        <v>5.2380443932640652</v>
      </c>
      <c r="AQ19" s="5">
        <f t="shared" si="25"/>
        <v>5</v>
      </c>
    </row>
    <row r="20" spans="8:43" x14ac:dyDescent="0.25">
      <c r="H20" s="29" t="s">
        <v>7</v>
      </c>
      <c r="I20" s="30"/>
      <c r="J20" s="17">
        <v>1</v>
      </c>
      <c r="K20" s="17">
        <v>2</v>
      </c>
      <c r="L20" s="17">
        <v>3</v>
      </c>
      <c r="M20" s="17">
        <v>4</v>
      </c>
      <c r="N20" s="17">
        <v>5</v>
      </c>
      <c r="O20" s="17">
        <v>6</v>
      </c>
      <c r="P20" s="17">
        <v>7</v>
      </c>
      <c r="Q20" s="17">
        <v>8</v>
      </c>
      <c r="R20" s="17">
        <v>9</v>
      </c>
      <c r="S20" s="17">
        <v>10</v>
      </c>
      <c r="T20" s="17">
        <v>11</v>
      </c>
      <c r="U20" s="17">
        <v>12</v>
      </c>
      <c r="V20" s="17">
        <v>13</v>
      </c>
      <c r="W20" s="17">
        <v>14</v>
      </c>
      <c r="X20" s="17">
        <v>15</v>
      </c>
      <c r="Y20" s="23"/>
      <c r="Z20" s="24"/>
      <c r="AB20" s="13" t="s">
        <v>13</v>
      </c>
      <c r="AC20" s="10">
        <f>B5</f>
        <v>101325</v>
      </c>
      <c r="AD20" s="10">
        <f>(AC20+(AC19^2)/2)-(AD19^2)/2</f>
        <v>101326.37644284058</v>
      </c>
      <c r="AE20" s="10">
        <f t="shared" ref="AE20:AK20" si="26">(AD20+(AD19^2)/2)-(AE19^2)/2</f>
        <v>101328.12651570368</v>
      </c>
      <c r="AF20" s="10">
        <f t="shared" si="26"/>
        <v>101330.62655157541</v>
      </c>
      <c r="AG20" s="10">
        <f t="shared" si="26"/>
        <v>101334.13776411793</v>
      </c>
      <c r="AH20" s="10">
        <f t="shared" si="26"/>
        <v>101338.55094464436</v>
      </c>
      <c r="AI20" s="10">
        <f t="shared" si="26"/>
        <v>101343.17912409401</v>
      </c>
      <c r="AJ20" s="10">
        <f t="shared" si="26"/>
        <v>101347.44174900708</v>
      </c>
      <c r="AK20" s="10">
        <f t="shared" si="26"/>
        <v>101351.07166774427</v>
      </c>
      <c r="AL20" s="10">
        <f>(AK20+(AK19^2)/2)-(AL19^2)/2</f>
        <v>101354.03754799499</v>
      </c>
      <c r="AM20" s="10">
        <f t="shared" ref="AM20:AQ20" si="27">(AL20+(AL19^2)/2)-(AM19^2)/2</f>
        <v>101356.42093438483</v>
      </c>
      <c r="AN20" s="10">
        <f t="shared" si="27"/>
        <v>101358.34370448536</v>
      </c>
      <c r="AO20" s="10">
        <f t="shared" si="27"/>
        <v>101359.92715397626</v>
      </c>
      <c r="AP20" s="10">
        <f t="shared" si="27"/>
        <v>101361.2814454671</v>
      </c>
      <c r="AQ20" s="10">
        <f t="shared" si="27"/>
        <v>101362.5</v>
      </c>
    </row>
    <row r="21" spans="8:43" x14ac:dyDescent="0.25">
      <c r="H21" s="31"/>
      <c r="I21" s="32"/>
      <c r="J21" s="17">
        <f>$B$2*(J20-1)</f>
        <v>0</v>
      </c>
      <c r="K21" s="17">
        <f t="shared" ref="K21:X21" si="28">$B$2*(K20-1)</f>
        <v>0.2</v>
      </c>
      <c r="L21" s="17">
        <f t="shared" si="28"/>
        <v>0.4</v>
      </c>
      <c r="M21" s="17">
        <f t="shared" si="28"/>
        <v>0.60000000000000009</v>
      </c>
      <c r="N21" s="17">
        <f t="shared" si="28"/>
        <v>0.8</v>
      </c>
      <c r="O21" s="17">
        <f t="shared" si="28"/>
        <v>1</v>
      </c>
      <c r="P21" s="17">
        <f t="shared" si="28"/>
        <v>1.2000000000000002</v>
      </c>
      <c r="Q21" s="17">
        <f t="shared" si="28"/>
        <v>1.4000000000000001</v>
      </c>
      <c r="R21" s="17">
        <f t="shared" si="28"/>
        <v>1.6</v>
      </c>
      <c r="S21" s="17">
        <f t="shared" si="28"/>
        <v>1.8</v>
      </c>
      <c r="T21" s="17">
        <f t="shared" si="28"/>
        <v>2</v>
      </c>
      <c r="U21" s="17">
        <f t="shared" si="28"/>
        <v>2.2000000000000002</v>
      </c>
      <c r="V21" s="17">
        <f t="shared" si="28"/>
        <v>2.4000000000000004</v>
      </c>
      <c r="W21" s="17">
        <f t="shared" si="28"/>
        <v>2.6</v>
      </c>
      <c r="X21" s="17">
        <f t="shared" si="28"/>
        <v>2.8000000000000003</v>
      </c>
      <c r="Y21" s="25"/>
      <c r="Z21" s="26"/>
      <c r="AB21" s="13" t="s">
        <v>14</v>
      </c>
      <c r="AC21" s="5">
        <f>(AC20-$B$5)/(($B$4^2)/2)</f>
        <v>0</v>
      </c>
      <c r="AD21" s="5">
        <f>(AD20-$B$5)/(($B$4^2)/2)</f>
        <v>2.7528856811695732E-2</v>
      </c>
      <c r="AE21" s="5">
        <f t="shared" ref="AE21:AQ21" si="29">(AE20-$B$5)/(($B$4^2)/2)</f>
        <v>6.2530314073665064E-2</v>
      </c>
      <c r="AF21" s="5">
        <f t="shared" si="29"/>
        <v>0.11253103150811512</v>
      </c>
      <c r="AG21" s="5">
        <f t="shared" si="29"/>
        <v>0.18275528235855745</v>
      </c>
      <c r="AH21" s="5">
        <f t="shared" si="29"/>
        <v>0.27101889288722303</v>
      </c>
      <c r="AI21" s="5">
        <f t="shared" si="29"/>
        <v>0.36358248188014841</v>
      </c>
      <c r="AJ21" s="5">
        <f t="shared" si="29"/>
        <v>0.4488349801415461</v>
      </c>
      <c r="AK21" s="5">
        <f t="shared" si="29"/>
        <v>0.52143335488537557</v>
      </c>
      <c r="AL21" s="5">
        <f t="shared" si="29"/>
        <v>0.58075095989974213</v>
      </c>
      <c r="AM21" s="5">
        <f t="shared" si="29"/>
        <v>0.62841868769668507</v>
      </c>
      <c r="AN21" s="5">
        <f t="shared" si="29"/>
        <v>0.66687408970727124</v>
      </c>
      <c r="AO21" s="5">
        <f t="shared" si="29"/>
        <v>0.69854307952511585</v>
      </c>
      <c r="AP21" s="5">
        <f t="shared" si="29"/>
        <v>0.72562890934204916</v>
      </c>
      <c r="AQ21" s="5">
        <f t="shared" si="29"/>
        <v>0.75</v>
      </c>
    </row>
    <row r="22" spans="8:43" x14ac:dyDescent="0.25">
      <c r="H22" s="17">
        <v>11</v>
      </c>
      <c r="I22" s="18">
        <f t="shared" ref="I22:I30" si="30">$B$2*(H22-1)</f>
        <v>2</v>
      </c>
      <c r="J22" s="2">
        <v>10</v>
      </c>
      <c r="K22" s="2">
        <v>10</v>
      </c>
      <c r="L22" s="2">
        <v>10</v>
      </c>
      <c r="M22" s="2">
        <v>10</v>
      </c>
      <c r="N22" s="2">
        <v>10</v>
      </c>
      <c r="O22" s="2">
        <v>10</v>
      </c>
      <c r="P22" s="2">
        <v>10</v>
      </c>
      <c r="Q22" s="2">
        <v>10</v>
      </c>
      <c r="R22" s="2">
        <v>10</v>
      </c>
      <c r="S22" s="2">
        <v>10</v>
      </c>
      <c r="T22" s="2">
        <v>10</v>
      </c>
      <c r="U22" s="2">
        <v>10</v>
      </c>
      <c r="V22" s="2">
        <v>10</v>
      </c>
      <c r="W22" s="2">
        <v>10</v>
      </c>
      <c r="X22" s="2">
        <v>10</v>
      </c>
      <c r="Y22" s="18">
        <f t="shared" ref="Y22:Y30" si="31">$B$2*(Z22-1)</f>
        <v>2</v>
      </c>
      <c r="Z22" s="17">
        <v>11</v>
      </c>
    </row>
    <row r="23" spans="8:43" x14ac:dyDescent="0.25">
      <c r="H23" s="17">
        <v>10</v>
      </c>
      <c r="I23" s="18">
        <f t="shared" si="30"/>
        <v>1.8</v>
      </c>
      <c r="J23" s="2">
        <v>8</v>
      </c>
      <c r="K23" s="1">
        <v>8.0276837521232043</v>
      </c>
      <c r="L23" s="1">
        <v>8.0634633283860619</v>
      </c>
      <c r="M23" s="1">
        <v>8.1157583895448138</v>
      </c>
      <c r="N23" s="1">
        <v>8.1917819301420689</v>
      </c>
      <c r="O23" s="1">
        <v>8.2921247860892819</v>
      </c>
      <c r="P23" s="1">
        <v>8.4041519849617803</v>
      </c>
      <c r="Q23" s="1">
        <v>8.5147768367439323</v>
      </c>
      <c r="R23" s="1">
        <v>8.615986096617064</v>
      </c>
      <c r="S23" s="1">
        <v>8.7045367425960389</v>
      </c>
      <c r="T23" s="1">
        <v>8.7804177829732275</v>
      </c>
      <c r="U23" s="1">
        <v>8.8452764140997431</v>
      </c>
      <c r="V23" s="1">
        <v>8.9016295616513865</v>
      </c>
      <c r="W23" s="1">
        <v>8.9522442963762785</v>
      </c>
      <c r="X23" s="2">
        <v>9</v>
      </c>
      <c r="Y23" s="18">
        <f t="shared" si="31"/>
        <v>1.8</v>
      </c>
      <c r="Z23" s="17">
        <v>10</v>
      </c>
    </row>
    <row r="24" spans="8:43" x14ac:dyDescent="0.25">
      <c r="H24" s="17">
        <v>9</v>
      </c>
      <c r="I24" s="18">
        <f t="shared" si="30"/>
        <v>1.6</v>
      </c>
      <c r="J24" s="2">
        <v>6</v>
      </c>
      <c r="K24" s="1">
        <v>6.0474205510300152</v>
      </c>
      <c r="L24" s="1">
        <v>6.1107163998927359</v>
      </c>
      <c r="M24" s="1">
        <v>6.2083090285721863</v>
      </c>
      <c r="N24" s="1">
        <v>6.3599897562720091</v>
      </c>
      <c r="O24" s="1">
        <v>6.5736348499581396</v>
      </c>
      <c r="P24" s="1">
        <v>6.8110359237225744</v>
      </c>
      <c r="Q24" s="1">
        <v>7.0406228029327842</v>
      </c>
      <c r="R24" s="1">
        <v>7.2464055019381499</v>
      </c>
      <c r="S24" s="1">
        <v>7.4236406605229774</v>
      </c>
      <c r="T24" s="1">
        <v>7.5735892602137067</v>
      </c>
      <c r="U24" s="1">
        <v>7.7005877944686798</v>
      </c>
      <c r="V24" s="1">
        <v>7.810071873266736</v>
      </c>
      <c r="W24" s="1">
        <v>7.9079349237373586</v>
      </c>
      <c r="X24" s="2">
        <v>8</v>
      </c>
      <c r="Y24" s="18">
        <f t="shared" si="31"/>
        <v>1.6</v>
      </c>
      <c r="Z24" s="17">
        <v>9</v>
      </c>
    </row>
    <row r="25" spans="8:43" x14ac:dyDescent="0.25">
      <c r="H25" s="17">
        <v>8</v>
      </c>
      <c r="I25" s="18">
        <f t="shared" si="30"/>
        <v>1.4000000000000001</v>
      </c>
      <c r="J25" s="2">
        <v>4</v>
      </c>
      <c r="K25" s="1">
        <v>4.0515189562136875</v>
      </c>
      <c r="L25" s="1">
        <v>4.1241991476380555</v>
      </c>
      <c r="M25" s="1">
        <v>4.2476176886820003</v>
      </c>
      <c r="N25" s="1">
        <v>4.4675635555859863</v>
      </c>
      <c r="O25" s="1">
        <v>4.8332104987915843</v>
      </c>
      <c r="P25" s="1">
        <v>5.2282229354916527</v>
      </c>
      <c r="Q25" s="1">
        <v>5.5931930265072207</v>
      </c>
      <c r="R25" s="1">
        <v>5.9087791400919318</v>
      </c>
      <c r="S25" s="1">
        <v>6.1734394528266696</v>
      </c>
      <c r="T25" s="1">
        <v>6.3930721182484165</v>
      </c>
      <c r="U25" s="1">
        <v>6.5761815512318114</v>
      </c>
      <c r="V25" s="1">
        <v>6.7322312054257338</v>
      </c>
      <c r="W25" s="1">
        <v>6.8704894445671858</v>
      </c>
      <c r="X25" s="2">
        <v>7</v>
      </c>
      <c r="Y25" s="18">
        <f t="shared" si="31"/>
        <v>1.4000000000000001</v>
      </c>
      <c r="Z25" s="17">
        <v>8</v>
      </c>
    </row>
    <row r="26" spans="8:43" x14ac:dyDescent="0.25">
      <c r="H26" s="17">
        <v>7</v>
      </c>
      <c r="I26" s="18">
        <f t="shared" si="30"/>
        <v>1.2000000000000002</v>
      </c>
      <c r="J26" s="2">
        <v>2</v>
      </c>
      <c r="K26" s="1">
        <v>2.034709075914428</v>
      </c>
      <c r="L26" s="1">
        <v>2.0874725782179837</v>
      </c>
      <c r="M26" s="1">
        <v>2.1913374060605006</v>
      </c>
      <c r="N26" s="1">
        <v>2.4308691534911624</v>
      </c>
      <c r="O26" s="1">
        <v>3.0656718305974016</v>
      </c>
      <c r="P26" s="1">
        <v>3.6784483374915453</v>
      </c>
      <c r="Q26" s="1">
        <v>4.1990458504251178</v>
      </c>
      <c r="R26" s="1">
        <v>4.6263881588046765</v>
      </c>
      <c r="S26" s="1">
        <v>4.9729638165611956</v>
      </c>
      <c r="T26" s="1">
        <v>5.2534192521645586</v>
      </c>
      <c r="U26" s="1">
        <v>5.4827018894045922</v>
      </c>
      <c r="V26" s="1">
        <v>5.6749120151595971</v>
      </c>
      <c r="W26" s="1">
        <v>5.8432882466797595</v>
      </c>
      <c r="X26" s="2">
        <v>6</v>
      </c>
      <c r="Y26" s="18">
        <f t="shared" si="31"/>
        <v>1.2000000000000002</v>
      </c>
      <c r="Z26" s="17">
        <v>7</v>
      </c>
    </row>
    <row r="27" spans="8:43" x14ac:dyDescent="0.25">
      <c r="H27" s="17">
        <v>6</v>
      </c>
      <c r="I27" s="18">
        <f t="shared" si="30"/>
        <v>1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1.322109737321886</v>
      </c>
      <c r="P27" s="2">
        <v>2.2239590385498205</v>
      </c>
      <c r="Q27" s="2">
        <v>2.9021327094836455</v>
      </c>
      <c r="R27" s="2">
        <v>3.4296572113947992</v>
      </c>
      <c r="S27" s="2">
        <v>3.8436681776907218</v>
      </c>
      <c r="T27" s="2">
        <v>4.1700349346477719</v>
      </c>
      <c r="U27" s="2">
        <v>4.4305470467815882</v>
      </c>
      <c r="V27" s="2">
        <v>4.6446729816172434</v>
      </c>
      <c r="W27" s="2">
        <v>4.8294096500435364</v>
      </c>
      <c r="X27" s="2">
        <v>5</v>
      </c>
      <c r="Y27" s="18">
        <f t="shared" si="31"/>
        <v>1</v>
      </c>
      <c r="Z27" s="17">
        <v>6</v>
      </c>
    </row>
    <row r="28" spans="8:43" x14ac:dyDescent="0.25">
      <c r="H28" s="17">
        <v>5</v>
      </c>
      <c r="I28" s="18">
        <f t="shared" si="30"/>
        <v>0.8</v>
      </c>
      <c r="J28" s="4"/>
      <c r="K28" s="4"/>
      <c r="L28" s="4"/>
      <c r="M28" s="4"/>
      <c r="N28" s="4"/>
      <c r="O28" s="2">
        <v>0</v>
      </c>
      <c r="P28" s="1">
        <v>0.99553746928525166</v>
      </c>
      <c r="Q28" s="1">
        <v>1.7595697945488267</v>
      </c>
      <c r="R28" s="1">
        <v>2.350922153330488</v>
      </c>
      <c r="S28" s="2">
        <v>2.8071693251058703</v>
      </c>
      <c r="T28" s="2">
        <v>3.15742179503455</v>
      </c>
      <c r="U28" s="2">
        <v>3.4292444830401729</v>
      </c>
      <c r="V28" s="2">
        <v>3.6470132821305814</v>
      </c>
      <c r="W28" s="2">
        <v>3.8314369326427578</v>
      </c>
      <c r="X28" s="2">
        <v>4</v>
      </c>
      <c r="Y28" s="18">
        <f t="shared" si="31"/>
        <v>0.8</v>
      </c>
      <c r="Z28" s="17">
        <v>5</v>
      </c>
    </row>
    <row r="29" spans="8:43" x14ac:dyDescent="0.25">
      <c r="H29" s="17">
        <v>4</v>
      </c>
      <c r="I29" s="18">
        <f t="shared" si="30"/>
        <v>0.60000000000000009</v>
      </c>
      <c r="J29" s="4"/>
      <c r="K29" s="4"/>
      <c r="L29" s="4"/>
      <c r="M29" s="4"/>
      <c r="N29" s="4"/>
      <c r="O29" s="4"/>
      <c r="P29" s="2">
        <v>0</v>
      </c>
      <c r="Q29" s="1">
        <v>0.79231925346297083</v>
      </c>
      <c r="R29" s="1">
        <v>1.4111204915885176</v>
      </c>
      <c r="S29" s="2">
        <v>1.8809830631394089</v>
      </c>
      <c r="T29" s="2">
        <v>2.2278034778024991</v>
      </c>
      <c r="U29" s="2">
        <v>2.4859130475192455</v>
      </c>
      <c r="V29" s="2">
        <v>2.6857369635760424</v>
      </c>
      <c r="W29" s="2">
        <v>2.8508893541727982</v>
      </c>
      <c r="X29" s="2">
        <v>3</v>
      </c>
      <c r="Y29" s="18">
        <f t="shared" si="31"/>
        <v>0.60000000000000009</v>
      </c>
      <c r="Z29" s="17">
        <v>4</v>
      </c>
    </row>
    <row r="30" spans="8:43" x14ac:dyDescent="0.25">
      <c r="H30" s="17">
        <v>3</v>
      </c>
      <c r="I30" s="18">
        <f t="shared" si="30"/>
        <v>0.4</v>
      </c>
      <c r="J30" s="4"/>
      <c r="K30" s="4"/>
      <c r="L30" s="4"/>
      <c r="M30" s="4"/>
      <c r="N30" s="4"/>
      <c r="O30" s="4"/>
      <c r="P30" s="4"/>
      <c r="Q30" s="2">
        <v>0</v>
      </c>
      <c r="R30" s="1">
        <v>0.62277513602417955</v>
      </c>
      <c r="S30" s="2">
        <v>1.0812249760355002</v>
      </c>
      <c r="T30" s="2">
        <v>1.3903810531587442</v>
      </c>
      <c r="U30" s="2">
        <v>1.6041597876434261</v>
      </c>
      <c r="V30" s="2">
        <v>1.7615333429709117</v>
      </c>
      <c r="W30" s="2">
        <v>1.8877215516980701</v>
      </c>
      <c r="X30" s="2">
        <v>2</v>
      </c>
      <c r="Y30" s="18">
        <f t="shared" si="31"/>
        <v>0.4</v>
      </c>
      <c r="Z30" s="17">
        <v>3</v>
      </c>
    </row>
    <row r="31" spans="8:43" x14ac:dyDescent="0.25">
      <c r="H31" s="17">
        <v>2</v>
      </c>
      <c r="I31" s="18">
        <f>$B$2*(H31-1)</f>
        <v>0.2</v>
      </c>
      <c r="J31" s="4"/>
      <c r="K31" s="4"/>
      <c r="L31" s="4"/>
      <c r="M31" s="4"/>
      <c r="N31" s="4"/>
      <c r="O31" s="4"/>
      <c r="P31" s="4"/>
      <c r="Q31" s="4"/>
      <c r="R31" s="2">
        <v>0</v>
      </c>
      <c r="S31" s="2">
        <v>0.43277995613128462</v>
      </c>
      <c r="T31" s="2">
        <v>0.65075938966460134</v>
      </c>
      <c r="U31" s="2">
        <v>0.78100813233031252</v>
      </c>
      <c r="V31" s="2">
        <v>0.87026323981064191</v>
      </c>
      <c r="W31" s="2">
        <v>0.93937451633915614</v>
      </c>
      <c r="X31" s="2">
        <v>1</v>
      </c>
      <c r="Y31" s="18">
        <f>$B$2*(Z31-1)</f>
        <v>0.2</v>
      </c>
      <c r="Z31" s="17">
        <v>2</v>
      </c>
    </row>
    <row r="32" spans="8:43" x14ac:dyDescent="0.25">
      <c r="H32" s="17">
        <v>1</v>
      </c>
      <c r="I32" s="18">
        <v>0</v>
      </c>
      <c r="J32" s="4"/>
      <c r="K32" s="4"/>
      <c r="L32" s="4"/>
      <c r="M32" s="4"/>
      <c r="N32" s="4"/>
      <c r="O32" s="4"/>
      <c r="P32" s="4"/>
      <c r="Q32" s="4"/>
      <c r="R32" s="4"/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18">
        <v>0</v>
      </c>
      <c r="Z32" s="17">
        <v>1</v>
      </c>
    </row>
    <row r="33" spans="8:26" x14ac:dyDescent="0.25">
      <c r="H33" s="23"/>
      <c r="I33" s="25"/>
      <c r="J33" s="17">
        <f>$B$2*(J34-1)</f>
        <v>0</v>
      </c>
      <c r="K33" s="17">
        <f t="shared" ref="K33:X33" si="32">$B$2*(K34-1)</f>
        <v>0.2</v>
      </c>
      <c r="L33" s="17">
        <f t="shared" si="32"/>
        <v>0.4</v>
      </c>
      <c r="M33" s="17">
        <f t="shared" si="32"/>
        <v>0.60000000000000009</v>
      </c>
      <c r="N33" s="17">
        <f t="shared" si="32"/>
        <v>0.8</v>
      </c>
      <c r="O33" s="17">
        <f t="shared" si="32"/>
        <v>1</v>
      </c>
      <c r="P33" s="17">
        <f t="shared" si="32"/>
        <v>1.2000000000000002</v>
      </c>
      <c r="Q33" s="17">
        <f t="shared" si="32"/>
        <v>1.4000000000000001</v>
      </c>
      <c r="R33" s="17">
        <f t="shared" si="32"/>
        <v>1.6</v>
      </c>
      <c r="S33" s="17">
        <f t="shared" si="32"/>
        <v>1.8</v>
      </c>
      <c r="T33" s="17">
        <f t="shared" si="32"/>
        <v>2</v>
      </c>
      <c r="U33" s="17">
        <f t="shared" si="32"/>
        <v>2.2000000000000002</v>
      </c>
      <c r="V33" s="17">
        <f t="shared" si="32"/>
        <v>2.4000000000000004</v>
      </c>
      <c r="W33" s="17">
        <f t="shared" si="32"/>
        <v>2.6</v>
      </c>
      <c r="X33" s="17">
        <f t="shared" si="32"/>
        <v>2.8000000000000003</v>
      </c>
      <c r="Y33" s="25"/>
      <c r="Z33" s="24"/>
    </row>
    <row r="34" spans="8:26" x14ac:dyDescent="0.25">
      <c r="H34" s="27"/>
      <c r="I34" s="28"/>
      <c r="J34" s="17">
        <v>1</v>
      </c>
      <c r="K34" s="17">
        <v>2</v>
      </c>
      <c r="L34" s="17">
        <v>3</v>
      </c>
      <c r="M34" s="17">
        <v>4</v>
      </c>
      <c r="N34" s="17">
        <v>5</v>
      </c>
      <c r="O34" s="17">
        <v>6</v>
      </c>
      <c r="P34" s="17">
        <v>7</v>
      </c>
      <c r="Q34" s="17">
        <v>8</v>
      </c>
      <c r="R34" s="17">
        <v>9</v>
      </c>
      <c r="S34" s="17">
        <v>10</v>
      </c>
      <c r="T34" s="17">
        <v>11</v>
      </c>
      <c r="U34" s="17">
        <v>12</v>
      </c>
      <c r="V34" s="17">
        <v>13</v>
      </c>
      <c r="W34" s="17">
        <v>14</v>
      </c>
      <c r="X34" s="17">
        <v>15</v>
      </c>
      <c r="Y34" s="27"/>
      <c r="Z34" s="26"/>
    </row>
    <row r="35" spans="8:26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8:26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8:26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8:26" x14ac:dyDescent="0.25">
      <c r="H38" s="29" t="s">
        <v>8</v>
      </c>
      <c r="I38" s="30"/>
      <c r="J38" s="17">
        <v>1</v>
      </c>
      <c r="K38" s="17">
        <v>2</v>
      </c>
      <c r="L38" s="17">
        <v>3</v>
      </c>
      <c r="M38" s="17">
        <v>4</v>
      </c>
      <c r="N38" s="17">
        <v>5</v>
      </c>
      <c r="O38" s="17">
        <v>6</v>
      </c>
      <c r="P38" s="17">
        <v>7</v>
      </c>
      <c r="Q38" s="17">
        <v>8</v>
      </c>
      <c r="R38" s="17">
        <v>9</v>
      </c>
      <c r="S38" s="17">
        <v>10</v>
      </c>
      <c r="T38" s="17">
        <v>11</v>
      </c>
      <c r="U38" s="17">
        <v>12</v>
      </c>
      <c r="V38" s="17">
        <v>13</v>
      </c>
      <c r="W38" s="17">
        <v>14</v>
      </c>
      <c r="X38" s="17">
        <v>15</v>
      </c>
      <c r="Y38" s="23"/>
      <c r="Z38" s="24"/>
    </row>
    <row r="39" spans="8:26" x14ac:dyDescent="0.25">
      <c r="H39" s="31"/>
      <c r="I39" s="32"/>
      <c r="J39" s="17">
        <f>$B$2*(J38-1)</f>
        <v>0</v>
      </c>
      <c r="K39" s="17">
        <f t="shared" ref="K39:X39" si="33">$B$2*(K38-1)</f>
        <v>0.2</v>
      </c>
      <c r="L39" s="17">
        <f t="shared" si="33"/>
        <v>0.4</v>
      </c>
      <c r="M39" s="17">
        <f t="shared" si="33"/>
        <v>0.60000000000000009</v>
      </c>
      <c r="N39" s="17">
        <f t="shared" si="33"/>
        <v>0.8</v>
      </c>
      <c r="O39" s="17">
        <f t="shared" si="33"/>
        <v>1</v>
      </c>
      <c r="P39" s="17">
        <f t="shared" si="33"/>
        <v>1.2000000000000002</v>
      </c>
      <c r="Q39" s="17">
        <f t="shared" si="33"/>
        <v>1.4000000000000001</v>
      </c>
      <c r="R39" s="17">
        <f t="shared" si="33"/>
        <v>1.6</v>
      </c>
      <c r="S39" s="17">
        <f t="shared" si="33"/>
        <v>1.8</v>
      </c>
      <c r="T39" s="17">
        <f t="shared" si="33"/>
        <v>2</v>
      </c>
      <c r="U39" s="17">
        <f t="shared" si="33"/>
        <v>2.2000000000000002</v>
      </c>
      <c r="V39" s="17">
        <f t="shared" si="33"/>
        <v>2.4000000000000004</v>
      </c>
      <c r="W39" s="17">
        <f t="shared" si="33"/>
        <v>2.6</v>
      </c>
      <c r="X39" s="17">
        <f t="shared" si="33"/>
        <v>2.8000000000000003</v>
      </c>
      <c r="Y39" s="25"/>
      <c r="Z39" s="26"/>
    </row>
    <row r="40" spans="8:26" x14ac:dyDescent="0.25">
      <c r="H40" s="17">
        <v>11</v>
      </c>
      <c r="I40" s="18">
        <f t="shared" ref="I40:I48" si="34">$B$2*(H40-1)</f>
        <v>2</v>
      </c>
      <c r="J40" s="3">
        <f>(J22-J23)/$B$2</f>
        <v>10</v>
      </c>
      <c r="K40" s="3">
        <f>(K4-K5)/$B$2</f>
        <v>9.8613951507299014</v>
      </c>
      <c r="L40" s="3">
        <f t="shared" ref="L40:X49" si="35">(L4-L5)/$B$2</f>
        <v>9.6823018230490554</v>
      </c>
      <c r="M40" s="3">
        <f t="shared" si="35"/>
        <v>9.4205571411246058</v>
      </c>
      <c r="N40" s="3">
        <f t="shared" si="35"/>
        <v>9.040158835117369</v>
      </c>
      <c r="O40" s="3">
        <f t="shared" si="35"/>
        <v>8.538039043672514</v>
      </c>
      <c r="P40" s="3">
        <f t="shared" si="35"/>
        <v>7.9775780668052665</v>
      </c>
      <c r="Q40" s="3">
        <f t="shared" si="35"/>
        <v>7.4240488943604621</v>
      </c>
      <c r="R40" s="3">
        <f t="shared" si="35"/>
        <v>6.9178511484023453</v>
      </c>
      <c r="S40" s="3">
        <f t="shared" si="35"/>
        <v>6.4749443248584093</v>
      </c>
      <c r="T40" s="3">
        <f t="shared" si="35"/>
        <v>6.0957469788631347</v>
      </c>
      <c r="U40" s="3">
        <f t="shared" si="35"/>
        <v>5.7717060761333805</v>
      </c>
      <c r="V40" s="3">
        <f t="shared" si="35"/>
        <v>5.490509270321553</v>
      </c>
      <c r="W40" s="3">
        <f t="shared" si="35"/>
        <v>5.2380443932640652</v>
      </c>
      <c r="X40" s="3">
        <f t="shared" si="35"/>
        <v>5</v>
      </c>
      <c r="Y40" s="18">
        <f t="shared" ref="Y40:Y48" si="36">$B$2*(Z40-1)</f>
        <v>2</v>
      </c>
      <c r="Z40" s="17">
        <v>11</v>
      </c>
    </row>
    <row r="41" spans="8:26" x14ac:dyDescent="0.25">
      <c r="H41" s="17">
        <v>10</v>
      </c>
      <c r="I41" s="18">
        <f t="shared" si="34"/>
        <v>1.8</v>
      </c>
      <c r="J41" s="3">
        <f t="shared" ref="J41:J44" si="37">(J5-J6)/$B$2</f>
        <v>10</v>
      </c>
      <c r="K41" s="3">
        <f>(K4-K6)/(2*$B$2)</f>
        <v>9.8813005573564823</v>
      </c>
      <c r="L41" s="3">
        <f t="shared" ref="L41:W41" si="38">(L4-L6)/(2*$B$2)</f>
        <v>9.7228799652335507</v>
      </c>
      <c r="M41" s="3">
        <f t="shared" si="38"/>
        <v>9.4786986035052756</v>
      </c>
      <c r="N41" s="3">
        <f t="shared" si="38"/>
        <v>9.0991941473385118</v>
      </c>
      <c r="O41" s="3">
        <f t="shared" si="38"/>
        <v>8.5647743969528456</v>
      </c>
      <c r="P41" s="3">
        <f t="shared" si="38"/>
        <v>7.970854641659777</v>
      </c>
      <c r="Q41" s="3">
        <f t="shared" si="38"/>
        <v>7.3966179444300746</v>
      </c>
      <c r="R41" s="3">
        <f t="shared" si="38"/>
        <v>6.8818570623970272</v>
      </c>
      <c r="S41" s="3">
        <f t="shared" si="38"/>
        <v>6.438768151515899</v>
      </c>
      <c r="T41" s="3">
        <f t="shared" si="38"/>
        <v>6.0639260273666862</v>
      </c>
      <c r="U41" s="3">
        <f t="shared" si="38"/>
        <v>5.7468005632425001</v>
      </c>
      <c r="V41" s="3">
        <f t="shared" si="38"/>
        <v>5.4735103216980274</v>
      </c>
      <c r="W41" s="3">
        <f t="shared" si="38"/>
        <v>5.2294964911186259</v>
      </c>
      <c r="X41" s="3">
        <f t="shared" si="35"/>
        <v>5</v>
      </c>
      <c r="Y41" s="18">
        <f t="shared" si="36"/>
        <v>1.8</v>
      </c>
      <c r="Z41" s="17">
        <v>10</v>
      </c>
    </row>
    <row r="42" spans="8:26" x14ac:dyDescent="0.25">
      <c r="H42" s="17">
        <v>9</v>
      </c>
      <c r="I42" s="18">
        <f t="shared" si="34"/>
        <v>1.6</v>
      </c>
      <c r="J42" s="3">
        <f t="shared" si="37"/>
        <v>10</v>
      </c>
      <c r="K42" s="3">
        <f t="shared" ref="K42:W49" si="39">(K5-K7)/(2*$B$2)</f>
        <v>9.9403469405209872</v>
      </c>
      <c r="L42" s="3">
        <f t="shared" si="39"/>
        <v>9.8480205740964664</v>
      </c>
      <c r="M42" s="3">
        <f t="shared" si="39"/>
        <v>9.6700907182772422</v>
      </c>
      <c r="N42" s="3">
        <f t="shared" si="39"/>
        <v>9.3101161466683404</v>
      </c>
      <c r="O42" s="3">
        <f t="shared" si="39"/>
        <v>8.6465472458930055</v>
      </c>
      <c r="P42" s="3">
        <f t="shared" si="39"/>
        <v>7.93878110002679</v>
      </c>
      <c r="Q42" s="3">
        <f t="shared" si="39"/>
        <v>7.3025563472313415</v>
      </c>
      <c r="R42" s="3">
        <f t="shared" si="39"/>
        <v>6.7664330882508805</v>
      </c>
      <c r="S42" s="3">
        <f t="shared" si="39"/>
        <v>6.3259930029304678</v>
      </c>
      <c r="T42" s="3">
        <f t="shared" si="39"/>
        <v>5.9667330627954662</v>
      </c>
      <c r="U42" s="3">
        <f t="shared" si="39"/>
        <v>5.6712763322161726</v>
      </c>
      <c r="V42" s="3">
        <f t="shared" si="39"/>
        <v>5.4224610621983915</v>
      </c>
      <c r="W42" s="3">
        <f t="shared" si="39"/>
        <v>5.2038188184661855</v>
      </c>
      <c r="X42" s="3">
        <f t="shared" si="35"/>
        <v>5</v>
      </c>
      <c r="Y42" s="18">
        <f t="shared" si="36"/>
        <v>1.6</v>
      </c>
      <c r="Z42" s="17">
        <v>9</v>
      </c>
    </row>
    <row r="43" spans="8:26" x14ac:dyDescent="0.25">
      <c r="H43" s="17">
        <v>8</v>
      </c>
      <c r="I43" s="18">
        <f t="shared" si="34"/>
        <v>1.4000000000000001</v>
      </c>
      <c r="J43" s="3">
        <f t="shared" si="37"/>
        <v>10</v>
      </c>
      <c r="K43" s="3">
        <f t="shared" si="39"/>
        <v>10.031829733623722</v>
      </c>
      <c r="L43" s="3">
        <f t="shared" si="39"/>
        <v>10.058216516258334</v>
      </c>
      <c r="M43" s="3">
        <f t="shared" si="39"/>
        <v>10.042576758750256</v>
      </c>
      <c r="N43" s="3">
        <f t="shared" si="39"/>
        <v>9.8229478575090567</v>
      </c>
      <c r="O43" s="3">
        <f t="shared" si="39"/>
        <v>8.7698270236120415</v>
      </c>
      <c r="P43" s="3">
        <f t="shared" si="39"/>
        <v>7.8310830739252264</v>
      </c>
      <c r="Q43" s="3">
        <f t="shared" si="39"/>
        <v>7.1032806603904959</v>
      </c>
      <c r="R43" s="3">
        <f t="shared" si="39"/>
        <v>6.5491141760573202</v>
      </c>
      <c r="S43" s="3">
        <f t="shared" si="39"/>
        <v>6.1256599475549596</v>
      </c>
      <c r="T43" s="3">
        <f t="shared" si="39"/>
        <v>5.7993409983445776</v>
      </c>
      <c r="U43" s="3">
        <f t="shared" si="39"/>
        <v>5.5437870209215268</v>
      </c>
      <c r="V43" s="3">
        <f t="shared" si="39"/>
        <v>5.337180726347392</v>
      </c>
      <c r="W43" s="3">
        <f t="shared" si="39"/>
        <v>5.161246565274924</v>
      </c>
      <c r="X43" s="3">
        <f t="shared" si="35"/>
        <v>5</v>
      </c>
      <c r="Y43" s="18">
        <f t="shared" si="36"/>
        <v>1.4000000000000001</v>
      </c>
      <c r="Z43" s="17">
        <v>8</v>
      </c>
    </row>
    <row r="44" spans="8:26" x14ac:dyDescent="0.25">
      <c r="H44" s="17">
        <v>7</v>
      </c>
      <c r="I44" s="18">
        <f t="shared" si="34"/>
        <v>1.2000000000000002</v>
      </c>
      <c r="J44" s="3">
        <f t="shared" si="37"/>
        <v>10</v>
      </c>
      <c r="K44" s="3">
        <f t="shared" si="39"/>
        <v>10.12895548411406</v>
      </c>
      <c r="L44" s="3">
        <f t="shared" si="39"/>
        <v>10.310828514379004</v>
      </c>
      <c r="M44" s="3">
        <f t="shared" si="39"/>
        <v>10.619630711160454</v>
      </c>
      <c r="N44" s="3">
        <f t="shared" si="39"/>
        <v>11.169804435772974</v>
      </c>
      <c r="O44" s="3">
        <f t="shared" si="39"/>
        <v>8.7784139390537224</v>
      </c>
      <c r="P44" s="3">
        <f t="shared" si="39"/>
        <v>7.5110372080816212</v>
      </c>
      <c r="Q44" s="3">
        <f t="shared" si="39"/>
        <v>6.7277742712643249</v>
      </c>
      <c r="R44" s="3">
        <f t="shared" si="39"/>
        <v>6.197696837979489</v>
      </c>
      <c r="S44" s="3">
        <f t="shared" si="39"/>
        <v>5.8241440298218032</v>
      </c>
      <c r="T44" s="3">
        <f t="shared" si="39"/>
        <v>5.5572332779783284</v>
      </c>
      <c r="U44" s="3">
        <f t="shared" si="39"/>
        <v>5.363711699273523</v>
      </c>
      <c r="V44" s="3">
        <f t="shared" si="39"/>
        <v>5.2186080563187671</v>
      </c>
      <c r="W44" s="3">
        <f t="shared" si="39"/>
        <v>5.1025351343144294</v>
      </c>
      <c r="X44" s="3">
        <f t="shared" si="35"/>
        <v>5</v>
      </c>
      <c r="Y44" s="18">
        <f t="shared" si="36"/>
        <v>1.2000000000000002</v>
      </c>
      <c r="Z44" s="17">
        <v>7</v>
      </c>
    </row>
    <row r="45" spans="8:26" x14ac:dyDescent="0.25">
      <c r="H45" s="17">
        <v>6</v>
      </c>
      <c r="I45" s="18">
        <f t="shared" si="34"/>
        <v>1</v>
      </c>
      <c r="J45" s="3">
        <f>$B$4</f>
        <v>10</v>
      </c>
      <c r="K45" s="3">
        <f>(K8-K9)/$B$2</f>
        <v>10.173739418039588</v>
      </c>
      <c r="L45" s="3">
        <f t="shared" ref="L45:X50" si="40">(L8-L9)/$B$2</f>
        <v>10.437807037016231</v>
      </c>
      <c r="M45" s="3">
        <f t="shared" si="40"/>
        <v>10.957449275488932</v>
      </c>
      <c r="N45" s="3">
        <f t="shared" si="40"/>
        <v>12.155715990304859</v>
      </c>
      <c r="O45" s="3">
        <f t="shared" si="39"/>
        <v>7.665398579435112</v>
      </c>
      <c r="P45" s="3">
        <f t="shared" si="39"/>
        <v>6.7083567637283412</v>
      </c>
      <c r="Q45" s="3">
        <f t="shared" si="39"/>
        <v>6.0995316542029565</v>
      </c>
      <c r="R45" s="3">
        <f t="shared" si="39"/>
        <v>5.6893307473968928</v>
      </c>
      <c r="S45" s="3">
        <f t="shared" si="39"/>
        <v>5.4149499076821606</v>
      </c>
      <c r="T45" s="3">
        <f t="shared" si="39"/>
        <v>5.2403253364160403</v>
      </c>
      <c r="U45" s="3">
        <f t="shared" si="39"/>
        <v>5.1338529336697452</v>
      </c>
      <c r="V45" s="3">
        <f t="shared" si="39"/>
        <v>5.0698768514069448</v>
      </c>
      <c r="W45" s="3">
        <f t="shared" si="39"/>
        <v>5.0296867646396279</v>
      </c>
      <c r="X45" s="3">
        <f t="shared" si="35"/>
        <v>5</v>
      </c>
      <c r="Y45" s="18">
        <f t="shared" si="36"/>
        <v>1</v>
      </c>
      <c r="Z45" s="17">
        <v>6</v>
      </c>
    </row>
    <row r="46" spans="8:26" x14ac:dyDescent="0.25">
      <c r="H46" s="17">
        <v>5</v>
      </c>
      <c r="I46" s="18">
        <f t="shared" si="34"/>
        <v>0.8</v>
      </c>
      <c r="J46" s="5"/>
      <c r="K46" s="5"/>
      <c r="L46" s="5"/>
      <c r="M46" s="5"/>
      <c r="N46" s="5"/>
      <c r="O46" s="3">
        <f t="shared" si="40"/>
        <v>6.6120385864340276</v>
      </c>
      <c r="P46" s="3">
        <f t="shared" si="39"/>
        <v>5.5613926584889546</v>
      </c>
      <c r="Q46" s="3">
        <f t="shared" si="39"/>
        <v>5.275963505488261</v>
      </c>
      <c r="R46" s="3">
        <f t="shared" si="39"/>
        <v>5.0475697458453022</v>
      </c>
      <c r="S46" s="3">
        <f t="shared" si="39"/>
        <v>4.9078168857357811</v>
      </c>
      <c r="T46" s="3">
        <f t="shared" si="39"/>
        <v>4.85647332051217</v>
      </c>
      <c r="U46" s="3">
        <f t="shared" si="39"/>
        <v>4.8623184854047752</v>
      </c>
      <c r="V46" s="3">
        <f t="shared" si="39"/>
        <v>4.8978331045761037</v>
      </c>
      <c r="W46" s="3">
        <f t="shared" si="39"/>
        <v>4.9465641956393078</v>
      </c>
      <c r="X46" s="3">
        <f t="shared" si="35"/>
        <v>5</v>
      </c>
      <c r="Y46" s="18">
        <f t="shared" si="36"/>
        <v>0.8</v>
      </c>
      <c r="Z46" s="17">
        <v>5</v>
      </c>
    </row>
    <row r="47" spans="8:26" x14ac:dyDescent="0.25">
      <c r="H47" s="17">
        <v>4</v>
      </c>
      <c r="I47" s="18">
        <f t="shared" si="34"/>
        <v>0.60000000000000009</v>
      </c>
      <c r="J47" s="5"/>
      <c r="K47" s="5"/>
      <c r="L47" s="5"/>
      <c r="M47" s="5"/>
      <c r="N47" s="5"/>
      <c r="O47" s="5"/>
      <c r="P47" s="3">
        <f t="shared" si="40"/>
        <v>4.979411041373309</v>
      </c>
      <c r="Q47" s="3">
        <f t="shared" si="39"/>
        <v>4.4005697409764721</v>
      </c>
      <c r="R47" s="3">
        <f t="shared" si="39"/>
        <v>4.3219820968837475</v>
      </c>
      <c r="S47" s="3">
        <f t="shared" si="39"/>
        <v>4.3162974879634692</v>
      </c>
      <c r="T47" s="3">
        <f t="shared" si="39"/>
        <v>4.4189403684064281</v>
      </c>
      <c r="U47" s="3">
        <f t="shared" si="39"/>
        <v>4.563787247179218</v>
      </c>
      <c r="V47" s="3">
        <f t="shared" si="39"/>
        <v>4.7145061363425222</v>
      </c>
      <c r="W47" s="3">
        <f t="shared" si="39"/>
        <v>4.8596969205400304</v>
      </c>
      <c r="X47" s="3">
        <f t="shared" si="35"/>
        <v>5</v>
      </c>
      <c r="Y47" s="18">
        <f t="shared" si="36"/>
        <v>0.60000000000000009</v>
      </c>
      <c r="Z47" s="17">
        <v>4</v>
      </c>
    </row>
    <row r="48" spans="8:26" x14ac:dyDescent="0.25">
      <c r="H48" s="17">
        <v>3</v>
      </c>
      <c r="I48" s="18">
        <f t="shared" si="34"/>
        <v>0.4</v>
      </c>
      <c r="J48" s="5"/>
      <c r="K48" s="5"/>
      <c r="L48" s="5"/>
      <c r="M48" s="5"/>
      <c r="N48" s="5"/>
      <c r="O48" s="5"/>
      <c r="P48" s="5"/>
      <c r="Q48" s="3">
        <f t="shared" si="40"/>
        <v>3.9633628576716804</v>
      </c>
      <c r="R48" s="3">
        <f t="shared" si="39"/>
        <v>3.5293747537231543</v>
      </c>
      <c r="S48" s="3">
        <f t="shared" si="39"/>
        <v>3.6220836905201779</v>
      </c>
      <c r="T48" s="3">
        <f t="shared" si="39"/>
        <v>3.9440811357697547</v>
      </c>
      <c r="U48" s="3">
        <f t="shared" si="39"/>
        <v>4.2636014343396695</v>
      </c>
      <c r="V48" s="3">
        <f t="shared" si="39"/>
        <v>4.5396456469707225</v>
      </c>
      <c r="W48" s="3">
        <f t="shared" si="39"/>
        <v>4.7793191602550982</v>
      </c>
      <c r="X48" s="3">
        <f t="shared" si="35"/>
        <v>5</v>
      </c>
      <c r="Y48" s="18">
        <f t="shared" si="36"/>
        <v>0.4</v>
      </c>
      <c r="Z48" s="17">
        <v>3</v>
      </c>
    </row>
    <row r="49" spans="8:26" x14ac:dyDescent="0.25">
      <c r="H49" s="17">
        <v>2</v>
      </c>
      <c r="I49" s="18">
        <f>$B$2*(H49-1)</f>
        <v>0.2</v>
      </c>
      <c r="J49" s="5"/>
      <c r="K49" s="5"/>
      <c r="L49" s="5"/>
      <c r="M49" s="5"/>
      <c r="N49" s="5"/>
      <c r="O49" s="5"/>
      <c r="P49" s="5"/>
      <c r="Q49" s="5"/>
      <c r="R49" s="3">
        <f t="shared" si="40"/>
        <v>3.1154318345300225</v>
      </c>
      <c r="S49" s="3">
        <f t="shared" si="39"/>
        <v>2.7043245052835108</v>
      </c>
      <c r="T49" s="3">
        <f t="shared" si="39"/>
        <v>3.4774672694662665</v>
      </c>
      <c r="U49" s="3">
        <f t="shared" si="39"/>
        <v>4.0117722349870082</v>
      </c>
      <c r="V49" s="3">
        <f t="shared" si="39"/>
        <v>4.4049259642051126</v>
      </c>
      <c r="W49" s="3">
        <f t="shared" si="39"/>
        <v>4.7198732584267908</v>
      </c>
      <c r="X49" s="3">
        <f t="shared" si="35"/>
        <v>5</v>
      </c>
      <c r="Y49" s="18">
        <f>$B$2*(Z49-1)</f>
        <v>0.2</v>
      </c>
      <c r="Z49" s="17">
        <v>2</v>
      </c>
    </row>
    <row r="50" spans="8:26" x14ac:dyDescent="0.25">
      <c r="H50" s="17">
        <v>1</v>
      </c>
      <c r="I50" s="18">
        <v>0</v>
      </c>
      <c r="J50" s="5"/>
      <c r="K50" s="5"/>
      <c r="L50" s="5"/>
      <c r="M50" s="5"/>
      <c r="N50" s="5"/>
      <c r="O50" s="5"/>
      <c r="P50" s="5"/>
      <c r="Q50" s="5"/>
      <c r="R50" s="5"/>
      <c r="S50" s="3">
        <f t="shared" si="40"/>
        <v>2.1649804571251265</v>
      </c>
      <c r="T50" s="3">
        <f t="shared" si="40"/>
        <v>3.2552114270254262</v>
      </c>
      <c r="U50" s="3">
        <f t="shared" si="40"/>
        <v>3.9064780213983368</v>
      </c>
      <c r="V50" s="3">
        <f t="shared" si="40"/>
        <v>4.3523949895504748</v>
      </c>
      <c r="W50" s="3">
        <f t="shared" si="40"/>
        <v>4.6974809893858902</v>
      </c>
      <c r="X50" s="3">
        <f t="shared" si="40"/>
        <v>5</v>
      </c>
      <c r="Y50" s="18">
        <v>0</v>
      </c>
      <c r="Z50" s="17">
        <v>1</v>
      </c>
    </row>
    <row r="51" spans="8:26" x14ac:dyDescent="0.25">
      <c r="H51" s="23"/>
      <c r="I51" s="25"/>
      <c r="J51" s="17">
        <f>$B$2*(J52-1)</f>
        <v>0</v>
      </c>
      <c r="K51" s="17">
        <f t="shared" ref="K51:X51" si="41">$B$2*(K52-1)</f>
        <v>0.2</v>
      </c>
      <c r="L51" s="17">
        <f t="shared" si="41"/>
        <v>0.4</v>
      </c>
      <c r="M51" s="17">
        <f t="shared" si="41"/>
        <v>0.60000000000000009</v>
      </c>
      <c r="N51" s="17">
        <f t="shared" si="41"/>
        <v>0.8</v>
      </c>
      <c r="O51" s="17">
        <f t="shared" si="41"/>
        <v>1</v>
      </c>
      <c r="P51" s="17">
        <f t="shared" si="41"/>
        <v>1.2000000000000002</v>
      </c>
      <c r="Q51" s="17">
        <f t="shared" si="41"/>
        <v>1.4000000000000001</v>
      </c>
      <c r="R51" s="17">
        <f t="shared" si="41"/>
        <v>1.6</v>
      </c>
      <c r="S51" s="17">
        <f t="shared" si="41"/>
        <v>1.8</v>
      </c>
      <c r="T51" s="17">
        <f t="shared" si="41"/>
        <v>2</v>
      </c>
      <c r="U51" s="17">
        <f t="shared" si="41"/>
        <v>2.2000000000000002</v>
      </c>
      <c r="V51" s="17">
        <f t="shared" si="41"/>
        <v>2.4000000000000004</v>
      </c>
      <c r="W51" s="17">
        <f t="shared" si="41"/>
        <v>2.6</v>
      </c>
      <c r="X51" s="17">
        <f t="shared" si="41"/>
        <v>2.8000000000000003</v>
      </c>
      <c r="Y51" s="25"/>
      <c r="Z51" s="24"/>
    </row>
    <row r="52" spans="8:26" x14ac:dyDescent="0.25">
      <c r="H52" s="27"/>
      <c r="I52" s="28"/>
      <c r="J52" s="17">
        <v>1</v>
      </c>
      <c r="K52" s="17">
        <v>2</v>
      </c>
      <c r="L52" s="17">
        <v>3</v>
      </c>
      <c r="M52" s="17">
        <v>4</v>
      </c>
      <c r="N52" s="17">
        <v>5</v>
      </c>
      <c r="O52" s="17">
        <v>6</v>
      </c>
      <c r="P52" s="17">
        <v>7</v>
      </c>
      <c r="Q52" s="17">
        <v>8</v>
      </c>
      <c r="R52" s="17">
        <v>9</v>
      </c>
      <c r="S52" s="17">
        <v>10</v>
      </c>
      <c r="T52" s="17">
        <v>11</v>
      </c>
      <c r="U52" s="17">
        <v>12</v>
      </c>
      <c r="V52" s="17">
        <v>13</v>
      </c>
      <c r="W52" s="17">
        <v>14</v>
      </c>
      <c r="X52" s="17">
        <v>15</v>
      </c>
      <c r="Y52" s="27"/>
      <c r="Z52" s="26"/>
    </row>
    <row r="53" spans="8:26" x14ac:dyDescent="0.25"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8:26" x14ac:dyDescent="0.25"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8:26" x14ac:dyDescent="0.25">
      <c r="H55" s="29" t="s">
        <v>9</v>
      </c>
      <c r="I55" s="30"/>
      <c r="J55" s="17">
        <v>1</v>
      </c>
      <c r="K55" s="17">
        <v>2</v>
      </c>
      <c r="L55" s="17">
        <v>3</v>
      </c>
      <c r="M55" s="17">
        <v>4</v>
      </c>
      <c r="N55" s="17">
        <v>5</v>
      </c>
      <c r="O55" s="17">
        <v>6</v>
      </c>
      <c r="P55" s="17">
        <v>7</v>
      </c>
      <c r="Q55" s="17">
        <v>8</v>
      </c>
      <c r="R55" s="17">
        <v>9</v>
      </c>
      <c r="S55" s="17">
        <v>10</v>
      </c>
      <c r="T55" s="17">
        <v>11</v>
      </c>
      <c r="U55" s="17">
        <v>12</v>
      </c>
      <c r="V55" s="17">
        <v>13</v>
      </c>
      <c r="W55" s="17">
        <v>14</v>
      </c>
      <c r="X55" s="17">
        <v>15</v>
      </c>
      <c r="Y55" s="23"/>
      <c r="Z55" s="24"/>
    </row>
    <row r="56" spans="8:26" x14ac:dyDescent="0.25">
      <c r="H56" s="31"/>
      <c r="I56" s="32"/>
      <c r="J56" s="17">
        <f>$B$2*(J55-1)</f>
        <v>0</v>
      </c>
      <c r="K56" s="17">
        <f t="shared" ref="K56:X56" si="42">$B$2*(K55-1)</f>
        <v>0.2</v>
      </c>
      <c r="L56" s="17">
        <f t="shared" si="42"/>
        <v>0.4</v>
      </c>
      <c r="M56" s="17">
        <f t="shared" si="42"/>
        <v>0.60000000000000009</v>
      </c>
      <c r="N56" s="17">
        <f t="shared" si="42"/>
        <v>0.8</v>
      </c>
      <c r="O56" s="17">
        <f t="shared" si="42"/>
        <v>1</v>
      </c>
      <c r="P56" s="17">
        <f t="shared" si="42"/>
        <v>1.2000000000000002</v>
      </c>
      <c r="Q56" s="17">
        <f t="shared" si="42"/>
        <v>1.4000000000000001</v>
      </c>
      <c r="R56" s="17">
        <f t="shared" si="42"/>
        <v>1.6</v>
      </c>
      <c r="S56" s="17">
        <f t="shared" si="42"/>
        <v>1.8</v>
      </c>
      <c r="T56" s="17">
        <f t="shared" si="42"/>
        <v>2</v>
      </c>
      <c r="U56" s="17">
        <f t="shared" si="42"/>
        <v>2.2000000000000002</v>
      </c>
      <c r="V56" s="17">
        <f t="shared" si="42"/>
        <v>2.4000000000000004</v>
      </c>
      <c r="W56" s="17">
        <f t="shared" si="42"/>
        <v>2.6</v>
      </c>
      <c r="X56" s="17">
        <f t="shared" si="42"/>
        <v>2.8000000000000003</v>
      </c>
      <c r="Y56" s="25"/>
      <c r="Z56" s="26"/>
    </row>
    <row r="57" spans="8:26" x14ac:dyDescent="0.25">
      <c r="H57" s="17">
        <v>11</v>
      </c>
      <c r="I57" s="18">
        <f t="shared" ref="I57:I65" si="43">$B$2*(H57-1)</f>
        <v>2</v>
      </c>
      <c r="J57" s="3">
        <f>-(K4-J4)/$B$2</f>
        <v>0</v>
      </c>
      <c r="K57" s="3">
        <f>-(L4-J4)/(2*$B$2)</f>
        <v>0</v>
      </c>
      <c r="L57" s="3">
        <f t="shared" ref="L57:W57" si="44">-(M4-K4)/(2*$B$2)</f>
        <v>0</v>
      </c>
      <c r="M57" s="3">
        <f t="shared" si="44"/>
        <v>0</v>
      </c>
      <c r="N57" s="3">
        <f t="shared" si="44"/>
        <v>0</v>
      </c>
      <c r="O57" s="3">
        <f t="shared" si="44"/>
        <v>0</v>
      </c>
      <c r="P57" s="3">
        <f t="shared" si="44"/>
        <v>0</v>
      </c>
      <c r="Q57" s="3">
        <f t="shared" si="44"/>
        <v>0</v>
      </c>
      <c r="R57" s="3">
        <f t="shared" si="44"/>
        <v>0</v>
      </c>
      <c r="S57" s="3">
        <f t="shared" si="44"/>
        <v>0</v>
      </c>
      <c r="T57" s="3">
        <f t="shared" si="44"/>
        <v>0</v>
      </c>
      <c r="U57" s="3">
        <f t="shared" si="44"/>
        <v>0</v>
      </c>
      <c r="V57" s="3">
        <f t="shared" si="44"/>
        <v>0</v>
      </c>
      <c r="W57" s="3">
        <f t="shared" si="44"/>
        <v>0</v>
      </c>
      <c r="X57" s="3">
        <f>-(X4-W4)/$B$2</f>
        <v>0</v>
      </c>
      <c r="Y57" s="18">
        <f t="shared" ref="Y57:Y65" si="45">$B$2*(Z57-1)</f>
        <v>2</v>
      </c>
      <c r="Z57" s="17">
        <v>11</v>
      </c>
    </row>
    <row r="58" spans="8:26" x14ac:dyDescent="0.25">
      <c r="H58" s="17">
        <v>10</v>
      </c>
      <c r="I58" s="18">
        <f t="shared" si="43"/>
        <v>1.8</v>
      </c>
      <c r="J58" s="3">
        <f t="shared" ref="J58:J62" si="46">-(K5-J5)/$B$2</f>
        <v>-0.13860484927009864</v>
      </c>
      <c r="K58" s="3">
        <f t="shared" ref="K58:W67" si="47">-(L5-J5)/(2*$B$2)</f>
        <v>-0.1588490884754723</v>
      </c>
      <c r="L58" s="3">
        <f t="shared" si="47"/>
        <v>-0.22041900480264776</v>
      </c>
      <c r="M58" s="3">
        <f t="shared" si="47"/>
        <v>-0.32107149396584322</v>
      </c>
      <c r="N58" s="3">
        <f t="shared" si="47"/>
        <v>-0.44125904872604593</v>
      </c>
      <c r="O58" s="3">
        <f t="shared" si="47"/>
        <v>-0.53129038415605123</v>
      </c>
      <c r="P58" s="3">
        <f t="shared" si="47"/>
        <v>-0.55699507465602593</v>
      </c>
      <c r="Q58" s="3">
        <f t="shared" si="47"/>
        <v>-0.52986345920146061</v>
      </c>
      <c r="R58" s="3">
        <f t="shared" si="47"/>
        <v>-0.4745522847510264</v>
      </c>
      <c r="S58" s="3">
        <f t="shared" si="47"/>
        <v>-0.41105208476960531</v>
      </c>
      <c r="T58" s="3">
        <f t="shared" si="47"/>
        <v>-0.35161912436251441</v>
      </c>
      <c r="U58" s="3">
        <f t="shared" si="47"/>
        <v>-0.30261885427079083</v>
      </c>
      <c r="V58" s="3">
        <f t="shared" si="47"/>
        <v>-0.26683084143465763</v>
      </c>
      <c r="W58" s="3">
        <f t="shared" si="47"/>
        <v>-0.2452546351607765</v>
      </c>
      <c r="X58" s="3">
        <f t="shared" ref="X58:X67" si="48">-(X5-W5)/$B$2</f>
        <v>-0.23804439326406523</v>
      </c>
      <c r="Y58" s="18">
        <f t="shared" si="45"/>
        <v>1.8</v>
      </c>
      <c r="Z58" s="17">
        <v>10</v>
      </c>
    </row>
    <row r="59" spans="8:26" x14ac:dyDescent="0.25">
      <c r="H59" s="17">
        <v>9</v>
      </c>
      <c r="I59" s="18">
        <f t="shared" si="43"/>
        <v>1.6</v>
      </c>
      <c r="J59" s="3">
        <f t="shared" si="46"/>
        <v>-0.23739888528703457</v>
      </c>
      <c r="K59" s="3">
        <f t="shared" si="47"/>
        <v>-0.27712003476644931</v>
      </c>
      <c r="L59" s="3">
        <f t="shared" si="47"/>
        <v>-0.40260195385120712</v>
      </c>
      <c r="M59" s="3">
        <f t="shared" si="47"/>
        <v>-0.62368581789503885</v>
      </c>
      <c r="N59" s="3">
        <f t="shared" si="47"/>
        <v>-0.91392420655243001</v>
      </c>
      <c r="O59" s="3">
        <f t="shared" si="47"/>
        <v>-1.1283395056787349</v>
      </c>
      <c r="P59" s="3">
        <f t="shared" si="47"/>
        <v>-1.1681564525227706</v>
      </c>
      <c r="Q59" s="3">
        <f t="shared" si="47"/>
        <v>-1.0889975792627493</v>
      </c>
      <c r="R59" s="3">
        <f t="shared" si="47"/>
        <v>-0.95784979291417605</v>
      </c>
      <c r="S59" s="3">
        <f t="shared" si="47"/>
        <v>-0.81793103503034148</v>
      </c>
      <c r="T59" s="3">
        <f t="shared" si="47"/>
        <v>-0.69196758827339888</v>
      </c>
      <c r="U59" s="3">
        <f t="shared" si="47"/>
        <v>-0.59041570566865875</v>
      </c>
      <c r="V59" s="3">
        <f t="shared" si="47"/>
        <v>-0.51730407212387419</v>
      </c>
      <c r="W59" s="3">
        <f t="shared" si="47"/>
        <v>-0.47351032169802743</v>
      </c>
      <c r="X59" s="3">
        <f t="shared" si="48"/>
        <v>-0.45899298223725182</v>
      </c>
      <c r="Y59" s="18">
        <f t="shared" si="45"/>
        <v>1.6</v>
      </c>
      <c r="Z59" s="17">
        <v>9</v>
      </c>
    </row>
    <row r="60" spans="8:26" x14ac:dyDescent="0.25">
      <c r="H60" s="17">
        <v>8</v>
      </c>
      <c r="I60" s="18">
        <f t="shared" si="43"/>
        <v>1.4000000000000001</v>
      </c>
      <c r="J60" s="3">
        <f t="shared" si="46"/>
        <v>-0.25791096822812332</v>
      </c>
      <c r="K60" s="3">
        <f t="shared" si="47"/>
        <v>-0.31082851437900461</v>
      </c>
      <c r="L60" s="3">
        <f t="shared" si="47"/>
        <v>-0.49067522704639321</v>
      </c>
      <c r="M60" s="3">
        <f t="shared" si="47"/>
        <v>-0.85897592139396961</v>
      </c>
      <c r="N60" s="3">
        <f t="shared" si="47"/>
        <v>-1.4648025211102822</v>
      </c>
      <c r="O60" s="3">
        <f t="shared" si="47"/>
        <v>-1.902625430797602</v>
      </c>
      <c r="P60" s="3">
        <f t="shared" si="47"/>
        <v>-1.9009859733176904</v>
      </c>
      <c r="Q60" s="3">
        <f t="shared" si="47"/>
        <v>-1.7022114709773706</v>
      </c>
      <c r="R60" s="3">
        <f t="shared" si="47"/>
        <v>-1.4511156290519001</v>
      </c>
      <c r="S60" s="3">
        <f t="shared" si="47"/>
        <v>-1.2107521102250196</v>
      </c>
      <c r="T60" s="3">
        <f t="shared" si="47"/>
        <v>-1.0063357950768093</v>
      </c>
      <c r="U60" s="3">
        <f t="shared" si="47"/>
        <v>-0.84689085486786553</v>
      </c>
      <c r="V60" s="3">
        <f t="shared" si="47"/>
        <v>-0.73428835518464464</v>
      </c>
      <c r="W60" s="3">
        <f t="shared" si="47"/>
        <v>-0.66771569735916803</v>
      </c>
      <c r="X60" s="3">
        <f t="shared" si="48"/>
        <v>-0.64568203019643722</v>
      </c>
      <c r="Y60" s="18">
        <f t="shared" si="45"/>
        <v>1.4000000000000001</v>
      </c>
      <c r="Z60" s="17">
        <v>8</v>
      </c>
    </row>
    <row r="61" spans="8:26" x14ac:dyDescent="0.25">
      <c r="H61" s="17">
        <v>7</v>
      </c>
      <c r="I61" s="18">
        <f t="shared" si="43"/>
        <v>1.2000000000000002</v>
      </c>
      <c r="J61" s="3">
        <f t="shared" si="46"/>
        <v>-0.17373941803958903</v>
      </c>
      <c r="K61" s="3">
        <f t="shared" si="47"/>
        <v>-0.21890351850811562</v>
      </c>
      <c r="L61" s="3">
        <f t="shared" si="47"/>
        <v>-0.39185492872467198</v>
      </c>
      <c r="M61" s="3">
        <f t="shared" si="47"/>
        <v>-0.85895447664431468</v>
      </c>
      <c r="N61" s="3">
        <f t="shared" si="47"/>
        <v>-2.1866739416906453</v>
      </c>
      <c r="O61" s="3">
        <f t="shared" si="47"/>
        <v>-3.1202042892625657</v>
      </c>
      <c r="P61" s="3">
        <f t="shared" si="47"/>
        <v>-2.8347028157443166</v>
      </c>
      <c r="Q61" s="3">
        <f t="shared" si="47"/>
        <v>-2.370966477130656</v>
      </c>
      <c r="R61" s="3">
        <f t="shared" si="47"/>
        <v>-1.9354705057497124</v>
      </c>
      <c r="S61" s="3">
        <f t="shared" si="47"/>
        <v>-1.567704212743084</v>
      </c>
      <c r="T61" s="3">
        <f t="shared" si="47"/>
        <v>-1.2738405149068321</v>
      </c>
      <c r="U61" s="3">
        <f t="shared" si="47"/>
        <v>-1.0525759776658439</v>
      </c>
      <c r="V61" s="3">
        <f t="shared" si="47"/>
        <v>-0.89984452777047697</v>
      </c>
      <c r="W61" s="3">
        <f t="shared" si="47"/>
        <v>-0.81069104804541992</v>
      </c>
      <c r="X61" s="3">
        <f t="shared" si="48"/>
        <v>-0.78148611278709978</v>
      </c>
      <c r="Y61" s="18">
        <f t="shared" si="45"/>
        <v>1.2000000000000002</v>
      </c>
      <c r="Z61" s="17">
        <v>7</v>
      </c>
    </row>
    <row r="62" spans="8:26" x14ac:dyDescent="0.25">
      <c r="H62" s="17">
        <v>6</v>
      </c>
      <c r="I62" s="18">
        <f t="shared" si="43"/>
        <v>1</v>
      </c>
      <c r="J62" s="3">
        <f t="shared" si="46"/>
        <v>0</v>
      </c>
      <c r="K62" s="3">
        <f t="shared" si="47"/>
        <v>0</v>
      </c>
      <c r="L62" s="3">
        <f t="shared" si="47"/>
        <v>0</v>
      </c>
      <c r="M62" s="3">
        <f t="shared" si="47"/>
        <v>0</v>
      </c>
      <c r="N62" s="3">
        <f t="shared" si="47"/>
        <v>-3.3060192932170138</v>
      </c>
      <c r="O62" s="3">
        <f t="shared" si="47"/>
        <v>-5.5613926584889546</v>
      </c>
      <c r="P62" s="3">
        <f t="shared" si="47"/>
        <v>-3.9516256411070882</v>
      </c>
      <c r="Q62" s="3">
        <f t="shared" si="47"/>
        <v>-3.0155518410795024</v>
      </c>
      <c r="R62" s="3">
        <f t="shared" si="47"/>
        <v>-2.3547458704944213</v>
      </c>
      <c r="S62" s="3">
        <f t="shared" si="47"/>
        <v>-1.8512156702261806</v>
      </c>
      <c r="T62" s="3">
        <f t="shared" si="47"/>
        <v>-1.4667681256250897</v>
      </c>
      <c r="U62" s="3">
        <f t="shared" si="47"/>
        <v>-1.1855160765274264</v>
      </c>
      <c r="V62" s="3">
        <f t="shared" si="47"/>
        <v>-0.99546492014373822</v>
      </c>
      <c r="W62" s="3">
        <f t="shared" si="47"/>
        <v>-0.88632375367793559</v>
      </c>
      <c r="X62" s="3">
        <f t="shared" si="48"/>
        <v>-0.8507522988252969</v>
      </c>
      <c r="Y62" s="18">
        <f t="shared" si="45"/>
        <v>1</v>
      </c>
      <c r="Z62" s="17">
        <v>6</v>
      </c>
    </row>
    <row r="63" spans="8:26" x14ac:dyDescent="0.25">
      <c r="H63" s="17">
        <v>5</v>
      </c>
      <c r="I63" s="18">
        <f t="shared" si="43"/>
        <v>0.8</v>
      </c>
      <c r="J63" s="5"/>
      <c r="K63" s="5"/>
      <c r="L63" s="5"/>
      <c r="M63" s="5"/>
      <c r="N63" s="5"/>
      <c r="O63" s="3">
        <f>-(P10-O10)/$B$2</f>
        <v>-4.979411041373309</v>
      </c>
      <c r="P63" s="3">
        <f t="shared" si="47"/>
        <v>-4.4005697409764721</v>
      </c>
      <c r="Q63" s="3">
        <f t="shared" si="47"/>
        <v>-3.389992493462104</v>
      </c>
      <c r="R63" s="3">
        <f t="shared" si="47"/>
        <v>-2.6200522522705083</v>
      </c>
      <c r="S63" s="3">
        <f t="shared" si="47"/>
        <v>-2.0167096237239366</v>
      </c>
      <c r="T63" s="3">
        <f t="shared" si="47"/>
        <v>-1.5549374889192469</v>
      </c>
      <c r="U63" s="3">
        <f t="shared" si="47"/>
        <v>-1.2230244626749398</v>
      </c>
      <c r="V63" s="3">
        <f t="shared" si="47"/>
        <v>-1.0040106968005946</v>
      </c>
      <c r="W63" s="3">
        <f t="shared" si="47"/>
        <v>-0.88056789945236469</v>
      </c>
      <c r="X63" s="3">
        <f t="shared" si="48"/>
        <v>-0.84085964206635611</v>
      </c>
      <c r="Y63" s="18">
        <f t="shared" si="45"/>
        <v>0.8</v>
      </c>
      <c r="Z63" s="17">
        <v>5</v>
      </c>
    </row>
    <row r="64" spans="8:26" x14ac:dyDescent="0.25">
      <c r="H64" s="17">
        <v>4</v>
      </c>
      <c r="I64" s="18">
        <f t="shared" si="43"/>
        <v>0.60000000000000009</v>
      </c>
      <c r="J64" s="5"/>
      <c r="K64" s="5"/>
      <c r="L64" s="5"/>
      <c r="M64" s="5"/>
      <c r="N64" s="5"/>
      <c r="O64" s="5"/>
      <c r="P64" s="3">
        <f>-(Q11-P11)/$B$2</f>
        <v>-3.9633628576716804</v>
      </c>
      <c r="Q64" s="3">
        <f t="shared" si="47"/>
        <v>-3.5293747537231543</v>
      </c>
      <c r="R64" s="3">
        <f t="shared" si="47"/>
        <v>-2.7228924902469012</v>
      </c>
      <c r="S64" s="3">
        <f t="shared" si="47"/>
        <v>-2.0423120955593133</v>
      </c>
      <c r="T64" s="3">
        <f t="shared" si="47"/>
        <v>-1.5122665259560963</v>
      </c>
      <c r="U64" s="3">
        <f t="shared" si="47"/>
        <v>-1.1441562924634929</v>
      </c>
      <c r="V64" s="3">
        <f t="shared" si="47"/>
        <v>-0.91121920990920535</v>
      </c>
      <c r="W64" s="3">
        <f t="shared" si="47"/>
        <v>-0.78415685825403925</v>
      </c>
      <c r="X64" s="3">
        <f t="shared" si="48"/>
        <v>-0.743880690103913</v>
      </c>
      <c r="Y64" s="18">
        <f t="shared" si="45"/>
        <v>0.60000000000000009</v>
      </c>
      <c r="Z64" s="17">
        <v>4</v>
      </c>
    </row>
    <row r="65" spans="8:26" x14ac:dyDescent="0.25">
      <c r="H65" s="17">
        <v>3</v>
      </c>
      <c r="I65" s="18">
        <f t="shared" si="43"/>
        <v>0.4</v>
      </c>
      <c r="J65" s="5"/>
      <c r="K65" s="5"/>
      <c r="L65" s="5"/>
      <c r="M65" s="5"/>
      <c r="N65" s="5"/>
      <c r="O65" s="5"/>
      <c r="P65" s="5"/>
      <c r="Q65" s="3">
        <f>-(R12-Q12)/$B$2</f>
        <v>-3.1154318345300225</v>
      </c>
      <c r="R65" s="3">
        <f t="shared" si="47"/>
        <v>-2.7043245052835108</v>
      </c>
      <c r="S65" s="3">
        <f t="shared" si="47"/>
        <v>-1.9197513522012555</v>
      </c>
      <c r="T65" s="3">
        <f t="shared" si="47"/>
        <v>-1.3074477297034981</v>
      </c>
      <c r="U65" s="3">
        <f t="shared" si="47"/>
        <v>-0.92745869473884579</v>
      </c>
      <c r="V65" s="3">
        <f t="shared" si="47"/>
        <v>-0.70810102343978221</v>
      </c>
      <c r="W65" s="3">
        <f t="shared" si="47"/>
        <v>-0.59507403579488749</v>
      </c>
      <c r="X65" s="3">
        <f t="shared" si="48"/>
        <v>-0.56025348314641787</v>
      </c>
      <c r="Y65" s="18">
        <f t="shared" si="45"/>
        <v>0.4</v>
      </c>
      <c r="Z65" s="17">
        <v>3</v>
      </c>
    </row>
    <row r="66" spans="8:26" x14ac:dyDescent="0.25">
      <c r="H66" s="17">
        <v>2</v>
      </c>
      <c r="I66" s="18">
        <f>$B$2*(H66-1)</f>
        <v>0.2</v>
      </c>
      <c r="J66" s="5"/>
      <c r="K66" s="5"/>
      <c r="L66" s="5"/>
      <c r="M66" s="5"/>
      <c r="N66" s="5"/>
      <c r="O66" s="5"/>
      <c r="P66" s="5"/>
      <c r="Q66" s="5"/>
      <c r="R66" s="3">
        <f>-(S13-R13)/$B$2</f>
        <v>-2.1649804571251265</v>
      </c>
      <c r="S66" s="3">
        <f t="shared" si="47"/>
        <v>-1.6276057135127131</v>
      </c>
      <c r="T66" s="3">
        <f>-(U13-S13)/(2*$B$2)</f>
        <v>-0.870748782136605</v>
      </c>
      <c r="U66" s="3">
        <f t="shared" si="47"/>
        <v>-0.54859178126252461</v>
      </c>
      <c r="V66" s="3">
        <f t="shared" si="47"/>
        <v>-0.39550148399377677</v>
      </c>
      <c r="W66" s="3">
        <f t="shared" si="47"/>
        <v>-0.32380250522476228</v>
      </c>
      <c r="X66" s="3">
        <f t="shared" si="48"/>
        <v>-0.30251901061410957</v>
      </c>
      <c r="Y66" s="18">
        <f>$B$2*(Z66-1)</f>
        <v>0.2</v>
      </c>
      <c r="Z66" s="17">
        <v>2</v>
      </c>
    </row>
    <row r="67" spans="8:26" x14ac:dyDescent="0.25">
      <c r="H67" s="17">
        <v>1</v>
      </c>
      <c r="I67" s="18">
        <v>0</v>
      </c>
      <c r="J67" s="5"/>
      <c r="K67" s="5"/>
      <c r="L67" s="5"/>
      <c r="M67" s="5"/>
      <c r="N67" s="5"/>
      <c r="O67" s="5"/>
      <c r="P67" s="5"/>
      <c r="Q67" s="5"/>
      <c r="R67" s="5"/>
      <c r="S67" s="3">
        <f>-(T14-S14)/$B$2</f>
        <v>0</v>
      </c>
      <c r="T67" s="3">
        <f>-(U14-S14)/(2*$B$2)</f>
        <v>0</v>
      </c>
      <c r="U67" s="3">
        <f t="shared" si="47"/>
        <v>0</v>
      </c>
      <c r="V67" s="3">
        <f t="shared" si="47"/>
        <v>0</v>
      </c>
      <c r="W67" s="3">
        <f t="shared" si="47"/>
        <v>0</v>
      </c>
      <c r="X67" s="3">
        <f t="shared" si="48"/>
        <v>0</v>
      </c>
      <c r="Y67" s="18">
        <v>0</v>
      </c>
      <c r="Z67" s="17">
        <v>1</v>
      </c>
    </row>
    <row r="68" spans="8:26" x14ac:dyDescent="0.25">
      <c r="H68" s="23"/>
      <c r="I68" s="25"/>
      <c r="J68" s="17">
        <f>$B$2*(J69-1)</f>
        <v>0</v>
      </c>
      <c r="K68" s="17">
        <f t="shared" ref="K68:X68" si="49">$B$2*(K69-1)</f>
        <v>0.2</v>
      </c>
      <c r="L68" s="17">
        <f t="shared" si="49"/>
        <v>0.4</v>
      </c>
      <c r="M68" s="17">
        <f t="shared" si="49"/>
        <v>0.60000000000000009</v>
      </c>
      <c r="N68" s="17">
        <f t="shared" si="49"/>
        <v>0.8</v>
      </c>
      <c r="O68" s="17">
        <f t="shared" si="49"/>
        <v>1</v>
      </c>
      <c r="P68" s="17">
        <f t="shared" si="49"/>
        <v>1.2000000000000002</v>
      </c>
      <c r="Q68" s="17">
        <f t="shared" si="49"/>
        <v>1.4000000000000001</v>
      </c>
      <c r="R68" s="17">
        <f t="shared" si="49"/>
        <v>1.6</v>
      </c>
      <c r="S68" s="17">
        <f t="shared" si="49"/>
        <v>1.8</v>
      </c>
      <c r="T68" s="17">
        <f t="shared" si="49"/>
        <v>2</v>
      </c>
      <c r="U68" s="17">
        <f t="shared" si="49"/>
        <v>2.2000000000000002</v>
      </c>
      <c r="V68" s="17">
        <f t="shared" si="49"/>
        <v>2.4000000000000004</v>
      </c>
      <c r="W68" s="17">
        <f t="shared" si="49"/>
        <v>2.6</v>
      </c>
      <c r="X68" s="17">
        <f t="shared" si="49"/>
        <v>2.8000000000000003</v>
      </c>
      <c r="Y68" s="25"/>
      <c r="Z68" s="24"/>
    </row>
    <row r="69" spans="8:26" x14ac:dyDescent="0.25">
      <c r="H69" s="27"/>
      <c r="I69" s="28"/>
      <c r="J69" s="17">
        <v>1</v>
      </c>
      <c r="K69" s="17">
        <v>2</v>
      </c>
      <c r="L69" s="17">
        <v>3</v>
      </c>
      <c r="M69" s="17">
        <v>4</v>
      </c>
      <c r="N69" s="17">
        <v>5</v>
      </c>
      <c r="O69" s="17">
        <v>6</v>
      </c>
      <c r="P69" s="17">
        <v>7</v>
      </c>
      <c r="Q69" s="17">
        <v>8</v>
      </c>
      <c r="R69" s="17">
        <v>9</v>
      </c>
      <c r="S69" s="17">
        <v>10</v>
      </c>
      <c r="T69" s="17">
        <v>11</v>
      </c>
      <c r="U69" s="17">
        <v>12</v>
      </c>
      <c r="V69" s="17">
        <v>13</v>
      </c>
      <c r="W69" s="17">
        <v>14</v>
      </c>
      <c r="X69" s="17">
        <v>15</v>
      </c>
      <c r="Y69" s="27"/>
      <c r="Z69" s="26"/>
    </row>
    <row r="70" spans="8:26" x14ac:dyDescent="0.25"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8:26" x14ac:dyDescent="0.25"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8:26" x14ac:dyDescent="0.25">
      <c r="H72" s="33" t="s">
        <v>10</v>
      </c>
      <c r="I72" s="34"/>
      <c r="J72" s="17">
        <v>1</v>
      </c>
      <c r="K72" s="17">
        <v>2</v>
      </c>
      <c r="L72" s="17">
        <v>3</v>
      </c>
      <c r="M72" s="17">
        <v>4</v>
      </c>
      <c r="N72" s="17">
        <v>5</v>
      </c>
      <c r="O72" s="17">
        <v>6</v>
      </c>
      <c r="P72" s="17">
        <v>7</v>
      </c>
      <c r="Q72" s="17">
        <v>8</v>
      </c>
      <c r="R72" s="17">
        <v>9</v>
      </c>
      <c r="S72" s="17">
        <v>10</v>
      </c>
      <c r="T72" s="17">
        <v>11</v>
      </c>
      <c r="U72" s="17">
        <v>12</v>
      </c>
      <c r="V72" s="17">
        <v>13</v>
      </c>
      <c r="W72" s="17">
        <v>14</v>
      </c>
      <c r="X72" s="17">
        <v>15</v>
      </c>
      <c r="Y72" s="23"/>
      <c r="Z72" s="24"/>
    </row>
    <row r="73" spans="8:26" x14ac:dyDescent="0.25">
      <c r="H73" s="35"/>
      <c r="I73" s="36"/>
      <c r="J73" s="17">
        <f>$B$2*(J72-1)</f>
        <v>0</v>
      </c>
      <c r="K73" s="17">
        <f t="shared" ref="K73:X73" si="50">$B$2*(K72-1)</f>
        <v>0.2</v>
      </c>
      <c r="L73" s="17">
        <f t="shared" si="50"/>
        <v>0.4</v>
      </c>
      <c r="M73" s="17">
        <f t="shared" si="50"/>
        <v>0.60000000000000009</v>
      </c>
      <c r="N73" s="17">
        <f t="shared" si="50"/>
        <v>0.8</v>
      </c>
      <c r="O73" s="17">
        <f t="shared" si="50"/>
        <v>1</v>
      </c>
      <c r="P73" s="17">
        <f t="shared" si="50"/>
        <v>1.2000000000000002</v>
      </c>
      <c r="Q73" s="17">
        <f t="shared" si="50"/>
        <v>1.4000000000000001</v>
      </c>
      <c r="R73" s="17">
        <f t="shared" si="50"/>
        <v>1.6</v>
      </c>
      <c r="S73" s="17">
        <f t="shared" si="50"/>
        <v>1.8</v>
      </c>
      <c r="T73" s="17">
        <f t="shared" si="50"/>
        <v>2</v>
      </c>
      <c r="U73" s="17">
        <f t="shared" si="50"/>
        <v>2.2000000000000002</v>
      </c>
      <c r="V73" s="17">
        <f t="shared" si="50"/>
        <v>2.4000000000000004</v>
      </c>
      <c r="W73" s="17">
        <f t="shared" si="50"/>
        <v>2.6</v>
      </c>
      <c r="X73" s="17">
        <f t="shared" si="50"/>
        <v>2.8000000000000003</v>
      </c>
      <c r="Y73" s="25"/>
      <c r="Z73" s="26"/>
    </row>
    <row r="74" spans="8:26" x14ac:dyDescent="0.25">
      <c r="H74" s="17">
        <v>11</v>
      </c>
      <c r="I74" s="18">
        <f t="shared" ref="I74:I82" si="51">$B$2*(H74-1)</f>
        <v>2</v>
      </c>
      <c r="J74" s="3">
        <f>(J57^2+J40^2)^0.5</f>
        <v>10</v>
      </c>
      <c r="K74" s="3">
        <f t="shared" ref="K74:X74" si="52">(K57^2+K40^2)^0.5</f>
        <v>9.8613951507299014</v>
      </c>
      <c r="L74" s="3">
        <f t="shared" si="52"/>
        <v>9.6823018230490554</v>
      </c>
      <c r="M74" s="3">
        <f t="shared" si="52"/>
        <v>9.4205571411246058</v>
      </c>
      <c r="N74" s="3">
        <f t="shared" si="52"/>
        <v>9.040158835117369</v>
      </c>
      <c r="O74" s="3">
        <f t="shared" si="52"/>
        <v>8.538039043672514</v>
      </c>
      <c r="P74" s="3">
        <f t="shared" si="52"/>
        <v>7.9775780668052665</v>
      </c>
      <c r="Q74" s="3">
        <f t="shared" si="52"/>
        <v>7.4240488943604621</v>
      </c>
      <c r="R74" s="3">
        <f t="shared" si="52"/>
        <v>6.9178511484023453</v>
      </c>
      <c r="S74" s="3">
        <f t="shared" si="52"/>
        <v>6.4749443248584093</v>
      </c>
      <c r="T74" s="3">
        <f t="shared" si="52"/>
        <v>6.0957469788631347</v>
      </c>
      <c r="U74" s="3">
        <f t="shared" si="52"/>
        <v>5.7717060761333805</v>
      </c>
      <c r="V74" s="3">
        <f t="shared" si="52"/>
        <v>5.490509270321553</v>
      </c>
      <c r="W74" s="3">
        <f t="shared" si="52"/>
        <v>5.2380443932640652</v>
      </c>
      <c r="X74" s="3">
        <f t="shared" si="52"/>
        <v>5</v>
      </c>
      <c r="Y74" s="18">
        <f t="shared" ref="Y74:Y82" si="53">$B$2*(Z74-1)</f>
        <v>2</v>
      </c>
      <c r="Z74" s="17">
        <v>11</v>
      </c>
    </row>
    <row r="75" spans="8:26" x14ac:dyDescent="0.25">
      <c r="H75" s="17">
        <v>10</v>
      </c>
      <c r="I75" s="18">
        <f t="shared" si="51"/>
        <v>1.8</v>
      </c>
      <c r="J75" s="3">
        <f t="shared" ref="J75:X84" si="54">(J58^2+J41^2)^0.5</f>
        <v>10.000960519082215</v>
      </c>
      <c r="K75" s="3">
        <f t="shared" si="54"/>
        <v>9.8825772821528197</v>
      </c>
      <c r="L75" s="3">
        <f t="shared" si="54"/>
        <v>9.7253781086402071</v>
      </c>
      <c r="M75" s="3">
        <f t="shared" si="54"/>
        <v>9.4841348640943703</v>
      </c>
      <c r="N75" s="3">
        <f t="shared" si="54"/>
        <v>9.109887138655564</v>
      </c>
      <c r="O75" s="3">
        <f t="shared" si="54"/>
        <v>8.5812370869820214</v>
      </c>
      <c r="P75" s="3">
        <f t="shared" si="54"/>
        <v>7.9902920617246709</v>
      </c>
      <c r="Q75" s="3">
        <f t="shared" si="54"/>
        <v>7.4155722841370721</v>
      </c>
      <c r="R75" s="3">
        <f t="shared" si="54"/>
        <v>6.8981995113381771</v>
      </c>
      <c r="S75" s="3">
        <f t="shared" si="54"/>
        <v>6.4518756284795895</v>
      </c>
      <c r="T75" s="3">
        <f t="shared" si="54"/>
        <v>6.0741118588640246</v>
      </c>
      <c r="U75" s="3">
        <f t="shared" si="54"/>
        <v>5.7547628000330722</v>
      </c>
      <c r="V75" s="3">
        <f t="shared" si="54"/>
        <v>5.4800103959459392</v>
      </c>
      <c r="W75" s="3">
        <f t="shared" si="54"/>
        <v>5.235244348327007</v>
      </c>
      <c r="X75" s="3">
        <f t="shared" si="54"/>
        <v>5.0056633060129458</v>
      </c>
      <c r="Y75" s="18">
        <f t="shared" si="53"/>
        <v>1.8</v>
      </c>
      <c r="Z75" s="17">
        <v>10</v>
      </c>
    </row>
    <row r="76" spans="8:26" x14ac:dyDescent="0.25">
      <c r="H76" s="17">
        <v>9</v>
      </c>
      <c r="I76" s="18">
        <f t="shared" si="51"/>
        <v>1.6</v>
      </c>
      <c r="J76" s="3">
        <f t="shared" si="54"/>
        <v>10.002817514617345</v>
      </c>
      <c r="K76" s="3">
        <f t="shared" si="54"/>
        <v>9.944209008844993</v>
      </c>
      <c r="L76" s="3">
        <f t="shared" si="54"/>
        <v>9.8562466264330109</v>
      </c>
      <c r="M76" s="3">
        <f>(M59^2+M42^2)^0.5</f>
        <v>9.6901825833755613</v>
      </c>
      <c r="N76" s="3">
        <f t="shared" si="54"/>
        <v>9.3548661198211196</v>
      </c>
      <c r="O76" s="3">
        <f t="shared" si="54"/>
        <v>8.7198583311619959</v>
      </c>
      <c r="P76" s="3">
        <f t="shared" si="54"/>
        <v>8.0242653776973967</v>
      </c>
      <c r="Q76" s="3">
        <f t="shared" si="54"/>
        <v>7.3833085356179504</v>
      </c>
      <c r="R76" s="3">
        <f t="shared" si="54"/>
        <v>6.8338929581580423</v>
      </c>
      <c r="S76" s="3">
        <f t="shared" si="54"/>
        <v>6.3786517894607675</v>
      </c>
      <c r="T76" s="3">
        <f t="shared" si="54"/>
        <v>6.0067231154663245</v>
      </c>
      <c r="U76" s="3">
        <f t="shared" si="54"/>
        <v>5.7019265114394049</v>
      </c>
      <c r="V76" s="3">
        <f t="shared" si="54"/>
        <v>5.4470806377447403</v>
      </c>
      <c r="W76" s="3">
        <f t="shared" si="54"/>
        <v>5.2253174372642066</v>
      </c>
      <c r="X76" s="3">
        <f t="shared" si="54"/>
        <v>5.0210232580364575</v>
      </c>
      <c r="Y76" s="18">
        <f t="shared" si="53"/>
        <v>1.6</v>
      </c>
      <c r="Z76" s="17">
        <v>9</v>
      </c>
    </row>
    <row r="77" spans="8:26" x14ac:dyDescent="0.25">
      <c r="H77" s="17">
        <v>8</v>
      </c>
      <c r="I77" s="18">
        <f t="shared" si="51"/>
        <v>1.4000000000000001</v>
      </c>
      <c r="J77" s="3">
        <f t="shared" si="54"/>
        <v>10.003325350478828</v>
      </c>
      <c r="K77" s="3">
        <f t="shared" si="54"/>
        <v>10.036643969463501</v>
      </c>
      <c r="L77" s="3">
        <f t="shared" si="54"/>
        <v>10.070177836878997</v>
      </c>
      <c r="M77" s="3">
        <f t="shared" si="54"/>
        <v>10.079245387871326</v>
      </c>
      <c r="N77" s="3">
        <f t="shared" si="54"/>
        <v>9.9315633732657016</v>
      </c>
      <c r="O77" s="3">
        <f t="shared" si="54"/>
        <v>8.9738425188986799</v>
      </c>
      <c r="P77" s="3">
        <f t="shared" si="54"/>
        <v>8.0585116356228443</v>
      </c>
      <c r="Q77" s="3">
        <f t="shared" si="54"/>
        <v>7.3043904627425675</v>
      </c>
      <c r="R77" s="3">
        <f t="shared" si="54"/>
        <v>6.7079529709080132</v>
      </c>
      <c r="S77" s="3">
        <f t="shared" si="54"/>
        <v>6.2441677159965332</v>
      </c>
      <c r="T77" s="3">
        <f>(T60^2+T43^2)^0.5</f>
        <v>5.8860060947584101</v>
      </c>
      <c r="U77" s="3">
        <f t="shared" si="54"/>
        <v>5.6081011629068174</v>
      </c>
      <c r="V77" s="3">
        <f t="shared" si="54"/>
        <v>5.3874555677289671</v>
      </c>
      <c r="W77" s="3">
        <f t="shared" si="54"/>
        <v>5.2042588675105348</v>
      </c>
      <c r="X77" s="3">
        <f t="shared" si="54"/>
        <v>5.0415181527114026</v>
      </c>
      <c r="Y77" s="18">
        <f t="shared" si="53"/>
        <v>1.4000000000000001</v>
      </c>
      <c r="Z77" s="17">
        <v>8</v>
      </c>
    </row>
    <row r="78" spans="8:26" x14ac:dyDescent="0.25">
      <c r="H78" s="17">
        <v>7</v>
      </c>
      <c r="I78" s="18">
        <f t="shared" si="51"/>
        <v>1.2000000000000002</v>
      </c>
      <c r="J78" s="3">
        <f t="shared" si="54"/>
        <v>10.001509155391537</v>
      </c>
      <c r="K78" s="3">
        <f t="shared" si="54"/>
        <v>10.131320641929143</v>
      </c>
      <c r="L78" s="3">
        <f t="shared" si="54"/>
        <v>10.318271896887431</v>
      </c>
      <c r="M78" s="3">
        <f t="shared" si="54"/>
        <v>10.654311767278523</v>
      </c>
      <c r="N78" s="3">
        <f t="shared" si="54"/>
        <v>11.381830874717938</v>
      </c>
      <c r="O78" s="3">
        <f t="shared" si="54"/>
        <v>9.3164492212486838</v>
      </c>
      <c r="P78" s="3">
        <f t="shared" si="54"/>
        <v>8.0281517172245387</v>
      </c>
      <c r="Q78" s="3">
        <f t="shared" si="54"/>
        <v>7.1333322284023453</v>
      </c>
      <c r="R78" s="3">
        <f t="shared" si="54"/>
        <v>6.4928801139500489</v>
      </c>
      <c r="S78" s="3">
        <f t="shared" si="54"/>
        <v>6.0314467732677013</v>
      </c>
      <c r="T78" s="3">
        <f t="shared" si="54"/>
        <v>5.7013604835414382</v>
      </c>
      <c r="U78" s="3">
        <f t="shared" si="54"/>
        <v>5.4660149452487667</v>
      </c>
      <c r="V78" s="3">
        <f t="shared" si="54"/>
        <v>5.295619908909023</v>
      </c>
      <c r="W78" s="3">
        <f t="shared" si="54"/>
        <v>5.1665350838152797</v>
      </c>
      <c r="X78" s="3">
        <f t="shared" si="54"/>
        <v>5.060703562201514</v>
      </c>
      <c r="Y78" s="18">
        <f t="shared" si="53"/>
        <v>1.2000000000000002</v>
      </c>
      <c r="Z78" s="17">
        <v>7</v>
      </c>
    </row>
    <row r="79" spans="8:26" x14ac:dyDescent="0.25">
      <c r="H79" s="17">
        <v>6</v>
      </c>
      <c r="I79" s="18">
        <f t="shared" si="51"/>
        <v>1</v>
      </c>
      <c r="J79" s="3">
        <f t="shared" si="54"/>
        <v>10</v>
      </c>
      <c r="K79" s="3">
        <f t="shared" si="54"/>
        <v>10.173739418039588</v>
      </c>
      <c r="L79" s="3">
        <f t="shared" si="54"/>
        <v>10.437807037016231</v>
      </c>
      <c r="M79" s="3">
        <f t="shared" si="54"/>
        <v>10.957449275488932</v>
      </c>
      <c r="N79" s="3">
        <f t="shared" si="54"/>
        <v>12.597269339189204</v>
      </c>
      <c r="O79" s="3">
        <f t="shared" si="54"/>
        <v>9.4703444332030848</v>
      </c>
      <c r="P79" s="3">
        <f t="shared" si="54"/>
        <v>7.7857174156859035</v>
      </c>
      <c r="Q79" s="3">
        <f t="shared" si="54"/>
        <v>6.804251561109556</v>
      </c>
      <c r="R79" s="3">
        <f t="shared" si="54"/>
        <v>6.1573787010290522</v>
      </c>
      <c r="S79" s="3">
        <f t="shared" si="54"/>
        <v>5.7226464123164211</v>
      </c>
      <c r="T79" s="3">
        <f t="shared" si="54"/>
        <v>5.4417293543352212</v>
      </c>
      <c r="U79" s="3">
        <f t="shared" si="54"/>
        <v>5.2689557136357141</v>
      </c>
      <c r="V79" s="3">
        <f t="shared" si="54"/>
        <v>5.1666818845046745</v>
      </c>
      <c r="W79" s="3">
        <f t="shared" si="54"/>
        <v>5.1071830539667165</v>
      </c>
      <c r="X79" s="3">
        <f t="shared" si="54"/>
        <v>5.071861539312418</v>
      </c>
      <c r="Y79" s="18">
        <f t="shared" si="53"/>
        <v>1</v>
      </c>
      <c r="Z79" s="17">
        <v>6</v>
      </c>
    </row>
    <row r="80" spans="8:26" x14ac:dyDescent="0.25">
      <c r="H80" s="17">
        <v>5</v>
      </c>
      <c r="I80" s="18">
        <f t="shared" si="51"/>
        <v>0.8</v>
      </c>
      <c r="J80" s="5"/>
      <c r="K80" s="5"/>
      <c r="L80" s="5"/>
      <c r="M80" s="5"/>
      <c r="N80" s="5"/>
      <c r="O80" s="3">
        <f t="shared" si="54"/>
        <v>8.2772935545045705</v>
      </c>
      <c r="P80" s="3">
        <f t="shared" si="54"/>
        <v>7.0918334968534458</v>
      </c>
      <c r="Q80" s="3">
        <f t="shared" si="54"/>
        <v>6.2711912757444566</v>
      </c>
      <c r="R80" s="3">
        <f t="shared" si="54"/>
        <v>5.6870584790206413</v>
      </c>
      <c r="S80" s="3">
        <f t="shared" si="54"/>
        <v>5.3060139738163148</v>
      </c>
      <c r="T80" s="3">
        <f t="shared" si="54"/>
        <v>5.0993297311796768</v>
      </c>
      <c r="U80" s="3">
        <f t="shared" si="54"/>
        <v>5.0137740166276252</v>
      </c>
      <c r="V80" s="3">
        <f t="shared" si="54"/>
        <v>4.9996806497587025</v>
      </c>
      <c r="W80" s="3">
        <f t="shared" si="54"/>
        <v>5.0243305192957504</v>
      </c>
      <c r="X80" s="3">
        <f t="shared" si="54"/>
        <v>5.0702115279005824</v>
      </c>
      <c r="Y80" s="18">
        <f t="shared" si="53"/>
        <v>0.8</v>
      </c>
      <c r="Z80" s="17">
        <v>5</v>
      </c>
    </row>
    <row r="81" spans="8:26" x14ac:dyDescent="0.25">
      <c r="H81" s="17">
        <v>4</v>
      </c>
      <c r="I81" s="18">
        <f t="shared" si="51"/>
        <v>0.60000000000000009</v>
      </c>
      <c r="J81" s="5"/>
      <c r="K81" s="5"/>
      <c r="L81" s="5"/>
      <c r="M81" s="5"/>
      <c r="N81" s="5"/>
      <c r="O81" s="5"/>
      <c r="P81" s="3">
        <f t="shared" si="54"/>
        <v>6.36417940197492</v>
      </c>
      <c r="Q81" s="3">
        <f t="shared" si="54"/>
        <v>5.6410548833898178</v>
      </c>
      <c r="R81" s="3">
        <f t="shared" si="54"/>
        <v>5.1081966249574426</v>
      </c>
      <c r="S81" s="3">
        <f t="shared" si="54"/>
        <v>4.7750877164998373</v>
      </c>
      <c r="T81" s="3">
        <f t="shared" si="54"/>
        <v>4.6705442964454642</v>
      </c>
      <c r="U81" s="3">
        <f t="shared" si="54"/>
        <v>4.7050236619064378</v>
      </c>
      <c r="V81" s="3">
        <f t="shared" si="54"/>
        <v>4.8017589025396576</v>
      </c>
      <c r="W81" s="3">
        <f t="shared" si="54"/>
        <v>4.9225558542136527</v>
      </c>
      <c r="X81" s="3">
        <f t="shared" si="54"/>
        <v>5.0550329851653268</v>
      </c>
      <c r="Y81" s="18">
        <f t="shared" si="53"/>
        <v>0.60000000000000009</v>
      </c>
      <c r="Z81" s="17">
        <v>4</v>
      </c>
    </row>
    <row r="82" spans="8:26" x14ac:dyDescent="0.25">
      <c r="H82" s="17">
        <v>3</v>
      </c>
      <c r="I82" s="18">
        <f t="shared" si="51"/>
        <v>0.4</v>
      </c>
      <c r="J82" s="5"/>
      <c r="K82" s="5"/>
      <c r="L82" s="5"/>
      <c r="M82" s="5"/>
      <c r="N82" s="5"/>
      <c r="O82" s="5"/>
      <c r="P82" s="5"/>
      <c r="Q82" s="3">
        <f t="shared" si="54"/>
        <v>5.0412459429365803</v>
      </c>
      <c r="R82" s="3">
        <f t="shared" si="54"/>
        <v>4.4463307549141327</v>
      </c>
      <c r="S82" s="3">
        <f t="shared" si="54"/>
        <v>4.0993823334022919</v>
      </c>
      <c r="T82" s="3">
        <f t="shared" si="54"/>
        <v>4.15514086060168</v>
      </c>
      <c r="U82" s="3">
        <f t="shared" si="54"/>
        <v>4.363310305416058</v>
      </c>
      <c r="V82" s="3">
        <f t="shared" si="54"/>
        <v>4.594539112844366</v>
      </c>
      <c r="W82" s="3">
        <f t="shared" si="54"/>
        <v>4.8162230786850717</v>
      </c>
      <c r="X82" s="3">
        <f t="shared" si="54"/>
        <v>5.0312904870796018</v>
      </c>
      <c r="Y82" s="18">
        <f t="shared" si="53"/>
        <v>0.4</v>
      </c>
      <c r="Z82" s="17">
        <v>3</v>
      </c>
    </row>
    <row r="83" spans="8:26" x14ac:dyDescent="0.25">
      <c r="H83" s="17">
        <v>2</v>
      </c>
      <c r="I83" s="18">
        <f>$B$2*(H83-1)</f>
        <v>0.2</v>
      </c>
      <c r="J83" s="5"/>
      <c r="K83" s="5"/>
      <c r="L83" s="5"/>
      <c r="M83" s="5"/>
      <c r="N83" s="5"/>
      <c r="O83" s="5"/>
      <c r="P83" s="5"/>
      <c r="Q83" s="5"/>
      <c r="R83" s="3">
        <f t="shared" si="54"/>
        <v>3.7938181157426119</v>
      </c>
      <c r="S83" s="3">
        <f t="shared" si="54"/>
        <v>3.1563382880382345</v>
      </c>
      <c r="T83" s="3">
        <f t="shared" si="54"/>
        <v>3.5848266418059258</v>
      </c>
      <c r="U83" s="3">
        <f t="shared" si="54"/>
        <v>4.0491072359078668</v>
      </c>
      <c r="V83" s="3">
        <f t="shared" si="54"/>
        <v>4.4226456080008969</v>
      </c>
      <c r="W83" s="3">
        <f t="shared" si="54"/>
        <v>4.7309673046853922</v>
      </c>
      <c r="X83" s="3">
        <f t="shared" si="54"/>
        <v>5.0091434149745542</v>
      </c>
      <c r="Y83" s="18">
        <f>$B$2*(Z83-1)</f>
        <v>0.2</v>
      </c>
      <c r="Z83" s="17">
        <v>2</v>
      </c>
    </row>
    <row r="84" spans="8:26" x14ac:dyDescent="0.25">
      <c r="H84" s="17">
        <v>1</v>
      </c>
      <c r="I84" s="18">
        <v>0</v>
      </c>
      <c r="J84" s="5"/>
      <c r="K84" s="5"/>
      <c r="L84" s="5"/>
      <c r="M84" s="5"/>
      <c r="N84" s="5"/>
      <c r="O84" s="5"/>
      <c r="P84" s="5"/>
      <c r="Q84" s="5"/>
      <c r="R84" s="5"/>
      <c r="S84" s="3">
        <f t="shared" si="54"/>
        <v>2.1649804571251265</v>
      </c>
      <c r="T84" s="3">
        <f t="shared" si="54"/>
        <v>3.2552114270254262</v>
      </c>
      <c r="U84" s="3">
        <f t="shared" si="54"/>
        <v>3.9064780213983368</v>
      </c>
      <c r="V84" s="3">
        <f t="shared" si="54"/>
        <v>4.3523949895504748</v>
      </c>
      <c r="W84" s="3">
        <f t="shared" si="54"/>
        <v>4.6974809893858902</v>
      </c>
      <c r="X84" s="3">
        <f t="shared" si="54"/>
        <v>5</v>
      </c>
      <c r="Y84" s="18">
        <v>0</v>
      </c>
      <c r="Z84" s="17">
        <v>1</v>
      </c>
    </row>
    <row r="85" spans="8:26" x14ac:dyDescent="0.25">
      <c r="H85" s="23"/>
      <c r="I85" s="25"/>
      <c r="J85" s="17">
        <f>$B$2*(J86-1)</f>
        <v>0</v>
      </c>
      <c r="K85" s="17">
        <f t="shared" ref="K85:X85" si="55">$B$2*(K86-1)</f>
        <v>0.2</v>
      </c>
      <c r="L85" s="17">
        <f t="shared" si="55"/>
        <v>0.4</v>
      </c>
      <c r="M85" s="17">
        <f t="shared" si="55"/>
        <v>0.60000000000000009</v>
      </c>
      <c r="N85" s="17">
        <f t="shared" si="55"/>
        <v>0.8</v>
      </c>
      <c r="O85" s="17">
        <f t="shared" si="55"/>
        <v>1</v>
      </c>
      <c r="P85" s="17">
        <f t="shared" si="55"/>
        <v>1.2000000000000002</v>
      </c>
      <c r="Q85" s="17">
        <f t="shared" si="55"/>
        <v>1.4000000000000001</v>
      </c>
      <c r="R85" s="17">
        <f t="shared" si="55"/>
        <v>1.6</v>
      </c>
      <c r="S85" s="17">
        <f t="shared" si="55"/>
        <v>1.8</v>
      </c>
      <c r="T85" s="17">
        <f t="shared" si="55"/>
        <v>2</v>
      </c>
      <c r="U85" s="17">
        <f t="shared" si="55"/>
        <v>2.2000000000000002</v>
      </c>
      <c r="V85" s="17">
        <f t="shared" si="55"/>
        <v>2.4000000000000004</v>
      </c>
      <c r="W85" s="17">
        <f t="shared" si="55"/>
        <v>2.6</v>
      </c>
      <c r="X85" s="17">
        <f t="shared" si="55"/>
        <v>2.8000000000000003</v>
      </c>
      <c r="Y85" s="25"/>
      <c r="Z85" s="24"/>
    </row>
    <row r="86" spans="8:26" x14ac:dyDescent="0.25">
      <c r="H86" s="27"/>
      <c r="I86" s="28"/>
      <c r="J86" s="17">
        <v>1</v>
      </c>
      <c r="K86" s="17">
        <v>2</v>
      </c>
      <c r="L86" s="17">
        <v>3</v>
      </c>
      <c r="M86" s="17">
        <v>4</v>
      </c>
      <c r="N86" s="17">
        <v>5</v>
      </c>
      <c r="O86" s="17">
        <v>6</v>
      </c>
      <c r="P86" s="17">
        <v>7</v>
      </c>
      <c r="Q86" s="17">
        <v>8</v>
      </c>
      <c r="R86" s="17">
        <v>9</v>
      </c>
      <c r="S86" s="17">
        <v>10</v>
      </c>
      <c r="T86" s="17">
        <v>11</v>
      </c>
      <c r="U86" s="17">
        <v>12</v>
      </c>
      <c r="V86" s="17">
        <v>13</v>
      </c>
      <c r="W86" s="17">
        <v>14</v>
      </c>
      <c r="X86" s="17">
        <v>15</v>
      </c>
      <c r="Y86" s="27"/>
      <c r="Z86" s="26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1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/>
        <cfvo type="percentile" val="50"/>
        <cfvo type="max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/>
        <cfvo type="percentile" val="50"/>
        <cfvo type="max"/>
        <color rgb="FF00B050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rigorev">
                <anchor moveWithCells="1">
                  <from>
                    <xdr:col>2</xdr:col>
                    <xdr:colOff>66675</xdr:colOff>
                    <xdr:row>16</xdr:row>
                    <xdr:rowOff>161925</xdr:rowOff>
                  </from>
                  <to>
                    <xdr:col>4</xdr:col>
                    <xdr:colOff>333375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Обнуление">
                <anchor moveWithCells="1">
                  <from>
                    <xdr:col>2</xdr:col>
                    <xdr:colOff>19050</xdr:colOff>
                    <xdr:row>26</xdr:row>
                    <xdr:rowOff>66675</xdr:rowOff>
                  </from>
                  <to>
                    <xdr:col>4</xdr:col>
                    <xdr:colOff>485775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2021-05-23T13:01:10Z</dcterms:created>
  <dcterms:modified xsi:type="dcterms:W3CDTF">2021-05-23T14:31:37Z</dcterms:modified>
</cp:coreProperties>
</file>